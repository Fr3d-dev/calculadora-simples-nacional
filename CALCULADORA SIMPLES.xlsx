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LANILHAS DO SIMPLES\"/>
    </mc:Choice>
  </mc:AlternateContent>
  <xr:revisionPtr revIDLastSave="0" documentId="13_ncr:1_{E99FD42C-EB8F-4EF3-8C1F-619AFA2D0B3E}" xr6:coauthVersionLast="41" xr6:coauthVersionMax="47" xr10:uidLastSave="{00000000-0000-0000-0000-000000000000}"/>
  <bookViews>
    <workbookView xWindow="-120" yWindow="-120" windowWidth="20730" windowHeight="11160" activeTab="4" xr2:uid="{7486B403-3960-476F-A77B-052D7FF51657}"/>
  </bookViews>
  <sheets>
    <sheet name="ANEXO I" sheetId="1" r:id="rId1"/>
    <sheet name="ANEXO II" sheetId="2" r:id="rId2"/>
    <sheet name="ANEXO III" sheetId="3" r:id="rId3"/>
    <sheet name="ANEXO IV" sheetId="4" r:id="rId4"/>
    <sheet name="ANEXO V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5" l="1"/>
  <c r="F2" i="5" s="1"/>
  <c r="F2" i="3"/>
  <c r="F6" i="5" l="1"/>
  <c r="K23" i="4"/>
  <c r="J18" i="5" l="1"/>
  <c r="F9" i="5"/>
  <c r="J12" i="5"/>
  <c r="F15" i="5" s="1"/>
  <c r="K25" i="2"/>
  <c r="K24" i="2"/>
  <c r="M24" i="2" s="1"/>
  <c r="K21" i="5" l="1"/>
  <c r="M21" i="5" s="1"/>
  <c r="K23" i="5"/>
  <c r="M23" i="5" s="1"/>
  <c r="K24" i="5"/>
  <c r="M24" i="5" s="1"/>
  <c r="K22" i="5"/>
  <c r="M22" i="5" s="1"/>
  <c r="K20" i="5"/>
  <c r="M20" i="5" s="1"/>
  <c r="K19" i="5"/>
  <c r="M25" i="1"/>
  <c r="M20" i="1"/>
  <c r="M21" i="1"/>
  <c r="M22" i="1"/>
  <c r="M23" i="1"/>
  <c r="M24" i="1"/>
  <c r="M19" i="1"/>
  <c r="K24" i="1"/>
  <c r="K25" i="1" s="1"/>
  <c r="K23" i="1"/>
  <c r="K22" i="1"/>
  <c r="K21" i="1"/>
  <c r="K20" i="1"/>
  <c r="K19" i="1"/>
  <c r="M19" i="5" l="1"/>
  <c r="M25" i="5" s="1"/>
  <c r="K25" i="5"/>
  <c r="C15" i="4"/>
  <c r="F2" i="4" s="1"/>
  <c r="C15" i="3"/>
  <c r="C15" i="2"/>
  <c r="F2" i="2" s="1"/>
  <c r="F6" i="4" l="1"/>
  <c r="F6" i="3"/>
  <c r="J18" i="3" s="1"/>
  <c r="F6" i="2"/>
  <c r="C15" i="1"/>
  <c r="F6" i="1" s="1"/>
  <c r="F9" i="4" l="1"/>
  <c r="J12" i="4" s="1"/>
  <c r="F15" i="4" s="1"/>
  <c r="J18" i="4"/>
  <c r="F9" i="3"/>
  <c r="J12" i="3" s="1"/>
  <c r="F9" i="2"/>
  <c r="J12" i="2" s="1"/>
  <c r="F15" i="2" s="1"/>
  <c r="J18" i="2"/>
  <c r="F9" i="1"/>
  <c r="J12" i="1" s="1"/>
  <c r="J18" i="1"/>
  <c r="K24" i="3" l="1"/>
  <c r="M24" i="3" s="1"/>
  <c r="K21" i="3"/>
  <c r="M21" i="3" s="1"/>
  <c r="K22" i="3"/>
  <c r="M22" i="3" s="1"/>
  <c r="K23" i="3"/>
  <c r="M23" i="3" s="1"/>
  <c r="K20" i="3"/>
  <c r="M20" i="3" s="1"/>
  <c r="K19" i="3"/>
  <c r="K20" i="4"/>
  <c r="M20" i="4" s="1"/>
  <c r="K21" i="4"/>
  <c r="M21" i="4" s="1"/>
  <c r="M23" i="4"/>
  <c r="K19" i="4"/>
  <c r="K22" i="4"/>
  <c r="M22" i="4" s="1"/>
  <c r="M25" i="2"/>
  <c r="K19" i="2"/>
  <c r="K22" i="2"/>
  <c r="M22" i="2" s="1"/>
  <c r="K23" i="2"/>
  <c r="M23" i="2" s="1"/>
  <c r="K20" i="2"/>
  <c r="M20" i="2" s="1"/>
  <c r="K21" i="2"/>
  <c r="M21" i="2" s="1"/>
  <c r="F15" i="1"/>
  <c r="F15" i="3"/>
  <c r="K25" i="3" l="1"/>
  <c r="M19" i="3"/>
  <c r="M25" i="3" s="1"/>
  <c r="M19" i="4"/>
  <c r="M24" i="4" s="1"/>
  <c r="K24" i="4"/>
  <c r="M19" i="2"/>
  <c r="M26" i="2" s="1"/>
  <c r="K26" i="2"/>
</calcChain>
</file>

<file path=xl/sharedStrings.xml><?xml version="1.0" encoding="utf-8"?>
<sst xmlns="http://schemas.openxmlformats.org/spreadsheetml/2006/main" count="343" uniqueCount="70">
  <si>
    <t>RBT12</t>
  </si>
  <si>
    <t>FATURAMENTO DO MÊS</t>
  </si>
  <si>
    <t>ALIQUOTA NOMINAL</t>
  </si>
  <si>
    <t>Receita Bruta em 12 Meses (em R$)</t>
  </si>
  <si>
    <t>Alíquota</t>
  </si>
  <si>
    <t>Valor a Deduzir (em R$)</t>
  </si>
  <si>
    <t>1ª Faixa</t>
  </si>
  <si>
    <t>Até 180.000,00</t>
  </si>
  <si>
    <t>-</t>
  </si>
  <si>
    <t>2ª Faixa</t>
  </si>
  <si>
    <t>De 180.000,01 a 360.000,00</t>
  </si>
  <si>
    <t>3ª Faixa</t>
  </si>
  <si>
    <t>De 360.000,01 a 720.000,00</t>
  </si>
  <si>
    <t>4ª Faixa</t>
  </si>
  <si>
    <t>De 720.000,01 a 1.800.000,00</t>
  </si>
  <si>
    <t>5ª Faixa</t>
  </si>
  <si>
    <t>De 1.800.000,01 a 3.600.000,00</t>
  </si>
  <si>
    <t>6ª Faixa</t>
  </si>
  <si>
    <t>De 3.600.000,01 a 4.800.000,00</t>
  </si>
  <si>
    <t>VALOR A DEDUZIR</t>
  </si>
  <si>
    <t>ALIQUOTA EFETIVA</t>
  </si>
  <si>
    <t>(RBT12 * ALIQ.NOMIN) - VAL.DEDUZIR</t>
  </si>
  <si>
    <t>DAS</t>
  </si>
  <si>
    <t>MÊS</t>
  </si>
  <si>
    <t>FATURAMENTO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</si>
  <si>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</si>
  <si>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</si>
  <si>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</si>
  <si>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</si>
  <si>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</si>
  <si>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</si>
  <si>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</si>
  <si>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</si>
  <si>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</si>
  <si>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janeiro</t>
  </si>
  <si>
    <t>fevereiro</t>
  </si>
  <si>
    <t>março</t>
  </si>
  <si>
    <t>Faixas</t>
  </si>
  <si>
    <t>Percentual de Repartição dos Tributos</t>
  </si>
  <si>
    <t>IRPJ</t>
  </si>
  <si>
    <t>CSLL</t>
  </si>
  <si>
    <t>Cofins</t>
  </si>
  <si>
    <t>PIS/Pasep</t>
  </si>
  <si>
    <t>CPP</t>
  </si>
  <si>
    <t>ICMS</t>
  </si>
  <si>
    <t>IPI</t>
  </si>
  <si>
    <t>ISS (*)</t>
  </si>
  <si>
    <t>(*) O percentual efetivo máximo devido ao ISS será de 5%, transferindo-se a diferença, de forma proporcional, aos tributos federais da mesma faixa de receita bruta anual. Sendo assim, na 5ª faixa, quando a alíquota efetiva for superior a 14,92537%, a repartição será:</t>
  </si>
  <si>
    <t>Faixa</t>
  </si>
  <si>
    <t>ISS</t>
  </si>
  <si>
    <t>5ª Faixa, com alíquota efetiva superior a 14,92537%</t>
  </si>
  <si>
    <t>(Alíquota efetiva - 5%) x6,02%</t>
  </si>
  <si>
    <t>(Alíquota efetiva - 5%) x5,26%</t>
  </si>
  <si>
    <t>(Alíquota efetiva - 5%) x19,28%</t>
  </si>
  <si>
    <t>(Alíquota efetiva - 5%) x4,18%</t>
  </si>
  <si>
    <t>(Alíquota efetiva - 5%) x 65,26%</t>
  </si>
  <si>
    <t>Percentual de ISS fixo em 5 %</t>
  </si>
  <si>
    <t>(*) O percentual efetivo máximo devido ao ISS será de 5%, transferindo-se a diferença, de forma proporcional, aos tributos federais da mesma faixa de receita bruta anual. Sendo assim, na 5ª faixa, quando a alíquota efetiva for superior a 12,5%, a repartição será:</t>
  </si>
  <si>
    <t>5ª Faixa, com alíquota efetiva superior a 12,5%</t>
  </si>
  <si>
    <t>(Alíquota efetiva - 5%) x 31,33%</t>
  </si>
  <si>
    <t>(Alíquota efetiva - 5%) x 32,00%</t>
  </si>
  <si>
    <t>(Alíquota efetiva - 5%) x 30,13%</t>
  </si>
  <si>
    <t>(Alíquota efetiva - 5%) x 6,54%</t>
  </si>
  <si>
    <t>Percentual de ISS fixo em 5%</t>
  </si>
  <si>
    <t>COFINS</t>
  </si>
  <si>
    <t>PIS/PASEP</t>
  </si>
  <si>
    <t>DIVISÃO DE ALIQUOTAS</t>
  </si>
  <si>
    <t>VALORES</t>
  </si>
  <si>
    <t>TOTAL</t>
  </si>
  <si>
    <r>
      <rPr>
        <b/>
        <sz val="11"/>
        <color theme="1"/>
        <rFont val="Calibri"/>
        <family val="2"/>
        <scheme val="minor"/>
      </rPr>
      <t>REPARTIÇÃO DE IMPOSTO</t>
    </r>
    <r>
      <rPr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</si>
</sst>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00%"/>
    <numFmt numFmtId="165" formatCode="0.000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2FF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6">
    <xf numFmtId="0" fontId="0" fillId="0" borderId="0" xfId="0"/>
    <xf numFmtId="0" fontId="0" fillId="0" borderId="12" xfId="0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6" xfId="0" applyNumberFormat="1" applyBorder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4" xfId="0" applyBorder="1"/>
    <xf numFmtId="0" fontId="0" fillId="0" borderId="9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3" fillId="0" borderId="1" xfId="0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10" fontId="0" fillId="0" borderId="0" xfId="0" applyNumberFormat="1"/>
    <xf numFmtId="165" fontId="0" fillId="0" borderId="0" xfId="0" applyNumberFormat="1"/>
    <xf numFmtId="164" fontId="0" fillId="0" borderId="0" xfId="1" applyNumberFormat="1" applyFont="1"/>
    <xf numFmtId="10" fontId="3" fillId="0" borderId="2" xfId="0" applyNumberFormat="1" applyFont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0" fillId="0" borderId="18" xfId="0" applyBorder="1"/>
    <xf numFmtId="0" fontId="0" fillId="0" borderId="18" xfId="0" applyBorder="1" applyAlignment="1">
      <alignment horizontal="center"/>
    </xf>
    <xf numFmtId="44" fontId="0" fillId="0" borderId="18" xfId="2" applyFont="1" applyBorder="1"/>
    <xf numFmtId="0" fontId="0" fillId="0" borderId="19" xfId="0" applyBorder="1"/>
    <xf numFmtId="44" fontId="0" fillId="0" borderId="19" xfId="2" applyFont="1" applyBorder="1"/>
    <xf numFmtId="0" fontId="0" fillId="0" borderId="22" xfId="0" applyBorder="1"/>
    <xf numFmtId="44" fontId="0" fillId="0" borderId="24" xfId="2" applyFont="1" applyBorder="1"/>
    <xf numFmtId="0" fontId="0" fillId="0" borderId="25" xfId="0" applyBorder="1"/>
    <xf numFmtId="0" fontId="0" fillId="0" borderId="25" xfId="0" applyBorder="1" applyAlignment="1">
      <alignment horizontal="center"/>
    </xf>
    <xf numFmtId="164" fontId="0" fillId="0" borderId="18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164" fontId="0" fillId="0" borderId="23" xfId="1" applyNumberFormat="1" applyFont="1" applyBorder="1" applyAlignment="1">
      <alignment horizontal="center"/>
    </xf>
    <xf numFmtId="164" fontId="0" fillId="0" borderId="19" xfId="1" applyNumberFormat="1" applyFont="1" applyBorder="1" applyAlignment="1">
      <alignment horizontal="center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0" xfId="0" applyAlignment="1">
      <alignment horizontal="center"/>
    </xf>
    <xf numFmtId="164" fontId="0" fillId="0" borderId="6" xfId="1" applyNumberFormat="1" applyFont="1" applyBorder="1" applyAlignment="1">
      <alignment horizontal="center" vertical="center"/>
    </xf>
    <xf numFmtId="164" fontId="0" fillId="0" borderId="7" xfId="1" applyNumberFormat="1" applyFont="1" applyBorder="1" applyAlignment="1">
      <alignment horizontal="center" vertical="center"/>
    </xf>
    <xf numFmtId="0" fontId="0" fillId="0" borderId="8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10" fontId="0" fillId="0" borderId="6" xfId="1" applyNumberFormat="1" applyFont="1" applyBorder="1" applyAlignment="1" applyProtection="1">
      <alignment horizontal="center" vertical="center"/>
    </xf>
    <xf numFmtId="10" fontId="0" fillId="0" borderId="7" xfId="1" applyNumberFormat="1" applyFont="1" applyBorder="1" applyAlignment="1" applyProtection="1">
      <alignment horizontal="center"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3" fillId="0" borderId="2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</cellXfs>
  <cellStyles count="3">
    <cellStyle name="Moeda" xfId="2" builtinId="4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1B0FE-3D1C-4BD7-B58F-DB2ACF42C48E}">
  <dimension ref="A1:O25"/>
  <sheetViews>
    <sheetView topLeftCell="A9" workbookViewId="0">
      <selection activeCell="J17" sqref="J17:M17"/>
    </sheetView>
  </sheetViews>
  <sheetFormatPr defaultRowHeight="15" x14ac:dyDescent="0.25"/>
  <cols>
    <col min="3" max="3" width="14.7109375" bestFit="1" customWidth="1"/>
    <col min="5" max="5" width="15.5703125" customWidth="1"/>
    <col min="6" max="6" width="11.5703125" bestFit="1" customWidth="1"/>
    <col min="9" max="9" width="7.140625" bestFit="1" customWidth="1"/>
    <col min="10" max="10" width="26.7109375" bestFit="1" customWidth="1"/>
    <col min="11" max="11" width="7.5703125" bestFit="1" customWidth="1"/>
    <col min="12" max="12" width="20.28515625" bestFit="1" customWidth="1"/>
    <col min="13" max="13" width="13.28515625" bestFit="1" customWidth="1"/>
  </cols>
  <sheetData>
    <row r="1" spans="1:12" ht="15.75" thickBot="1" x14ac:dyDescent="0.3"/>
    <row r="2" spans="1:12" ht="15.75" thickBot="1" x14ac:dyDescent="0.3">
      <c r="B2" s="2" t="s">
        <v>23</v>
      </c>
      <c r="C2" s="1" t="s">
        <v>24</v>
      </c>
      <c r="E2" s="2" t="s">
        <v>0</v>
      </c>
      <c r="F2" s="6">
        <v>1900000</v>
      </c>
      <c r="I2" s="49" t="s">
        <v>3</v>
      </c>
      <c r="J2" s="50"/>
      <c r="K2" s="7" t="s">
        <v>4</v>
      </c>
      <c r="L2" s="7" t="s">
        <v>5</v>
      </c>
    </row>
    <row r="3" spans="1:12" x14ac:dyDescent="0.25">
      <c r="A3" t="s">
        <v>25</v>
      </c>
      <c r="B3" s="3">
        <v>1</v>
      </c>
      <c r="C3" s="13">
        <v>0</v>
      </c>
      <c r="E3" s="58" t="s">
        <v>1</v>
      </c>
      <c r="F3" s="60">
        <v>200000</v>
      </c>
      <c r="I3" s="8" t="s">
        <v>6</v>
      </c>
      <c r="J3" s="8" t="s">
        <v>7</v>
      </c>
      <c r="K3" s="9">
        <v>0.04</v>
      </c>
      <c r="L3" s="8" t="s">
        <v>8</v>
      </c>
    </row>
    <row r="4" spans="1:12" ht="15.75" thickBot="1" x14ac:dyDescent="0.3">
      <c r="A4" t="s">
        <v>26</v>
      </c>
      <c r="B4" s="4">
        <v>2</v>
      </c>
      <c r="C4" s="14">
        <v>195000</v>
      </c>
      <c r="E4" s="59"/>
      <c r="F4" s="61"/>
      <c r="I4" s="8" t="s">
        <v>9</v>
      </c>
      <c r="J4" s="8" t="s">
        <v>10</v>
      </c>
      <c r="K4" s="9">
        <v>7.2999999999999995E-2</v>
      </c>
      <c r="L4" s="10">
        <v>5940</v>
      </c>
    </row>
    <row r="5" spans="1:12" ht="15.75" thickBot="1" x14ac:dyDescent="0.3">
      <c r="A5" t="s">
        <v>27</v>
      </c>
      <c r="B5" s="4">
        <v>3</v>
      </c>
      <c r="C5" s="14"/>
      <c r="I5" s="8" t="s">
        <v>11</v>
      </c>
      <c r="J5" s="8" t="s">
        <v>12</v>
      </c>
      <c r="K5" s="9">
        <v>9.5000000000000001E-2</v>
      </c>
      <c r="L5" s="10">
        <v>13860</v>
      </c>
    </row>
    <row r="6" spans="1:12" x14ac:dyDescent="0.25">
      <c r="A6" t="s">
        <v>28</v>
      </c>
      <c r="B6" s="4">
        <v>4</v>
      </c>
      <c r="C6" s="14"/>
      <c r="E6" s="58" t="s">
        <v>2</v>
      </c>
      <c r="F6" s="62">
        <f>IF(F2&lt;=180000,K3,IF(AND(F2&gt;=180000.01,F2&lt;=360000),K4,IF(AND(F2&gt;=360000.01,F2&lt;=720000),K5,IF(AND(F2&gt;=720000.01,F2&lt;=1800000),K6,IF(AND(F2&gt;=1800000.01,F2&lt;=3600000),K7,IF(AND(F2&gt;=3600000.01,F2&lt;=4800000),K8,0))))))</f>
        <v>0.14299999999999999</v>
      </c>
      <c r="I6" s="8" t="s">
        <v>13</v>
      </c>
      <c r="J6" s="8" t="s">
        <v>14</v>
      </c>
      <c r="K6" s="9">
        <v>0.107</v>
      </c>
      <c r="L6" s="10">
        <v>22500</v>
      </c>
    </row>
    <row r="7" spans="1:12" ht="15.75" thickBot="1" x14ac:dyDescent="0.3">
      <c r="A7" t="s">
        <v>29</v>
      </c>
      <c r="B7" s="4">
        <v>5</v>
      </c>
      <c r="C7" s="14"/>
      <c r="E7" s="59"/>
      <c r="F7" s="63"/>
      <c r="I7" s="8" t="s">
        <v>15</v>
      </c>
      <c r="J7" s="8" t="s">
        <v>16</v>
      </c>
      <c r="K7" s="9">
        <v>0.14299999999999999</v>
      </c>
      <c r="L7" s="10">
        <v>87300</v>
      </c>
    </row>
    <row r="8" spans="1:12" ht="15.75" thickBot="1" x14ac:dyDescent="0.3">
      <c r="A8" t="s">
        <v>30</v>
      </c>
      <c r="B8" s="4">
        <v>6</v>
      </c>
      <c r="C8" s="14"/>
      <c r="I8" s="8" t="s">
        <v>17</v>
      </c>
      <c r="J8" s="8" t="s">
        <v>18</v>
      </c>
      <c r="K8" s="9">
        <v>0.19</v>
      </c>
      <c r="L8" s="10">
        <v>378000</v>
      </c>
    </row>
    <row r="9" spans="1:12" x14ac:dyDescent="0.25">
      <c r="A9" t="s">
        <v>31</v>
      </c>
      <c r="B9" s="4">
        <v>7</v>
      </c>
      <c r="C9" s="14"/>
      <c r="E9" s="58" t="s">
        <v>19</v>
      </c>
      <c r="F9" s="51">
        <f>IF(F6=K3,0,IF(F6=K4,L4,IF(F6=K5,L5,IF(F6=K6,L6,IF(F6=K7,L7,IF(F6=K8,L8,0))))))</f>
        <v>87300</v>
      </c>
    </row>
    <row r="10" spans="1:12" ht="15.75" thickBot="1" x14ac:dyDescent="0.3">
      <c r="A10" t="s">
        <v>32</v>
      </c>
      <c r="B10" s="4">
        <v>8</v>
      </c>
      <c r="C10" s="14"/>
      <c r="E10" s="59"/>
      <c r="F10" s="52"/>
    </row>
    <row r="11" spans="1:12" ht="15.75" thickBot="1" x14ac:dyDescent="0.3">
      <c r="A11" t="s">
        <v>33</v>
      </c>
      <c r="B11" s="4">
        <v>9</v>
      </c>
      <c r="C11" s="14"/>
      <c r="J11" s="11"/>
    </row>
    <row r="12" spans="1:12" ht="15.75" thickBot="1" x14ac:dyDescent="0.3">
      <c r="A12" t="s">
        <v>34</v>
      </c>
      <c r="B12" s="4">
        <v>10</v>
      </c>
      <c r="C12" s="14"/>
      <c r="E12" s="53" t="s">
        <v>20</v>
      </c>
      <c r="F12" s="12" t="s">
        <v>21</v>
      </c>
      <c r="G12" s="12"/>
      <c r="H12" s="12"/>
      <c r="I12" s="12"/>
      <c r="J12" s="56">
        <f>(((F2*F6)-F9)/F2)</f>
        <v>9.7052631578947363E-2</v>
      </c>
    </row>
    <row r="13" spans="1:12" ht="15.75" thickBot="1" x14ac:dyDescent="0.3">
      <c r="A13" t="s">
        <v>35</v>
      </c>
      <c r="B13" s="4">
        <v>11</v>
      </c>
      <c r="C13" s="14"/>
      <c r="E13" s="54"/>
      <c r="F13" s="55" t="s">
        <v>0</v>
      </c>
      <c r="G13" s="55"/>
      <c r="H13" s="55"/>
      <c r="I13" s="55"/>
      <c r="J13" s="57"/>
    </row>
    <row r="14" spans="1:12" ht="15.75" thickBot="1" x14ac:dyDescent="0.3">
      <c r="A14" t="s">
        <v>36</v>
      </c>
      <c r="B14" s="5">
        <v>12</v>
      </c>
      <c r="C14" s="15"/>
    </row>
    <row r="15" spans="1:12" x14ac:dyDescent="0.25">
      <c r="C15">
        <f>(12*SUM(C3:C14))/COUNTA(C3:C14)</f>
        <v>1170000</v>
      </c>
      <c r="E15" s="45" t="s">
        <v>22</v>
      </c>
      <c r="F15" s="45">
        <f>F3*J12</f>
        <v>19410.526315789473</v>
      </c>
      <c r="G15" s="47"/>
    </row>
    <row r="16" spans="1:12" ht="15.75" thickBot="1" x14ac:dyDescent="0.3">
      <c r="E16" s="46"/>
      <c r="F16" s="46"/>
      <c r="G16" s="48"/>
    </row>
    <row r="17" spans="1:15" ht="15.75" thickBot="1" x14ac:dyDescent="0.3">
      <c r="J17" s="64" t="s">
        <v>69</v>
      </c>
      <c r="K17" s="65"/>
      <c r="L17" s="65"/>
      <c r="M17" s="66"/>
    </row>
    <row r="18" spans="1:15" x14ac:dyDescent="0.25">
      <c r="A18" s="40" t="s">
        <v>37</v>
      </c>
      <c r="B18" s="42" t="s">
        <v>38</v>
      </c>
      <c r="C18" s="43"/>
      <c r="D18" s="43"/>
      <c r="E18" s="43"/>
      <c r="F18" s="43"/>
      <c r="G18" s="44"/>
      <c r="J18" s="34" t="str">
        <f>IF(F6=K6,I6,IF(F6=K3,I3,IF(F6=K4,I4,IF(F6=K5,I5,IF(F6=K7,I7,IF(F6=K8,I8,0))))))</f>
        <v>5ª Faixa</v>
      </c>
      <c r="K18" s="37" t="s">
        <v>66</v>
      </c>
      <c r="L18" s="37"/>
      <c r="M18" s="35" t="s">
        <v>67</v>
      </c>
    </row>
    <row r="19" spans="1:15" x14ac:dyDescent="0.25">
      <c r="A19" s="41"/>
      <c r="B19" s="19" t="s">
        <v>39</v>
      </c>
      <c r="C19" s="19" t="s">
        <v>40</v>
      </c>
      <c r="D19" s="19" t="s">
        <v>41</v>
      </c>
      <c r="E19" s="19" t="s">
        <v>42</v>
      </c>
      <c r="F19" s="19" t="s">
        <v>43</v>
      </c>
      <c r="G19" s="19" t="s">
        <v>44</v>
      </c>
      <c r="J19" s="27" t="s">
        <v>39</v>
      </c>
      <c r="K19" s="36">
        <f>IF($J$18=$A$20,$J$12*$B$20,IF($J$18=$A$21,$J$12*$B$21,IF($J$18=$A$22,$J$12*$B$22,IF($J$18=$A$23,$J$12*$B$23,IF($J$18=$A$24,$J$12*$B$24,0)))))</f>
        <v>5.3378947368421048E-3</v>
      </c>
      <c r="L19" s="36"/>
      <c r="M19" s="29">
        <f>$F$3*K19</f>
        <v>1067.578947368421</v>
      </c>
      <c r="N19" s="23"/>
      <c r="O19" s="22"/>
    </row>
    <row r="20" spans="1:15" x14ac:dyDescent="0.25">
      <c r="A20" s="16" t="s">
        <v>6</v>
      </c>
      <c r="B20" s="17">
        <v>5.5E-2</v>
      </c>
      <c r="C20" s="17">
        <v>3.5000000000000003E-2</v>
      </c>
      <c r="D20" s="17">
        <v>0.12740000000000001</v>
      </c>
      <c r="E20" s="17">
        <v>2.76E-2</v>
      </c>
      <c r="F20" s="17">
        <v>0.41499999999999998</v>
      </c>
      <c r="G20" s="17">
        <v>0.34</v>
      </c>
      <c r="J20" s="27" t="s">
        <v>40</v>
      </c>
      <c r="K20" s="36">
        <f>IF($J$18=$A$20,$J$12*$C$20,IF($J$18=$A$21,$J$12*$C$21,IF($J$18=$A$22,$J$12*$C$22,IF($J$18=$A$23,$J$12*$C$23,IF($J$18=$A$24,$J$12*$C$24,0)))))</f>
        <v>3.3968421052631582E-3</v>
      </c>
      <c r="L20" s="36"/>
      <c r="M20" s="29">
        <f t="shared" ref="M20:M24" si="0">$F$3*K20</f>
        <v>679.36842105263167</v>
      </c>
    </row>
    <row r="21" spans="1:15" x14ac:dyDescent="0.25">
      <c r="A21" s="16" t="s">
        <v>9</v>
      </c>
      <c r="B21" s="17">
        <v>5.5E-2</v>
      </c>
      <c r="C21" s="17">
        <v>3.5000000000000003E-2</v>
      </c>
      <c r="D21" s="17">
        <v>0.12740000000000001</v>
      </c>
      <c r="E21" s="17">
        <v>2.76E-2</v>
      </c>
      <c r="F21" s="17">
        <v>0.41499999999999998</v>
      </c>
      <c r="G21" s="17">
        <v>0.34</v>
      </c>
      <c r="J21" s="27" t="s">
        <v>64</v>
      </c>
      <c r="K21" s="36">
        <f>IF($J$18=$A$20,$J$12*$D$20,IF($J$18=$A$21,$J$12*$D$21,IF($J$18=$A$22,$J$12*$D$22,IF($J$18=$A$23,$J$12*$D$23,IF($J$18=$A$24,$J$12*$D$24,0)))))</f>
        <v>1.2364505263157896E-2</v>
      </c>
      <c r="L21" s="36"/>
      <c r="M21" s="29">
        <f t="shared" si="0"/>
        <v>2472.9010526315792</v>
      </c>
    </row>
    <row r="22" spans="1:15" x14ac:dyDescent="0.25">
      <c r="A22" s="16" t="s">
        <v>11</v>
      </c>
      <c r="B22" s="17">
        <v>5.5E-2</v>
      </c>
      <c r="C22" s="17">
        <v>3.5000000000000003E-2</v>
      </c>
      <c r="D22" s="17">
        <v>0.12740000000000001</v>
      </c>
      <c r="E22" s="17">
        <v>2.76E-2</v>
      </c>
      <c r="F22" s="17">
        <v>0.42</v>
      </c>
      <c r="G22" s="17">
        <v>0.33500000000000002</v>
      </c>
      <c r="J22" s="27" t="s">
        <v>65</v>
      </c>
      <c r="K22" s="36">
        <f>IF($J$18=$A$20,$J$12*$E$20,IF($J$18=$A$21,$J$12*$E$21,IF($J$18=$A$22,$J$12*$E$22,IF($J$18=$A$23,$J$12*$E$23,IF($J$18=$A$24,$J$12*$E$24,0)))))</f>
        <v>2.6786526315789472E-3</v>
      </c>
      <c r="L22" s="36"/>
      <c r="M22" s="29">
        <f t="shared" si="0"/>
        <v>535.73052631578946</v>
      </c>
    </row>
    <row r="23" spans="1:15" x14ac:dyDescent="0.25">
      <c r="A23" s="16" t="s">
        <v>13</v>
      </c>
      <c r="B23" s="17">
        <v>5.5E-2</v>
      </c>
      <c r="C23" s="17">
        <v>3.5000000000000003E-2</v>
      </c>
      <c r="D23" s="17">
        <v>0.12740000000000001</v>
      </c>
      <c r="E23" s="17">
        <v>2.76E-2</v>
      </c>
      <c r="F23" s="17">
        <v>0.42</v>
      </c>
      <c r="G23" s="17">
        <v>0.33500000000000002</v>
      </c>
      <c r="J23" s="27" t="s">
        <v>43</v>
      </c>
      <c r="K23" s="36">
        <f>IF($J$18=$A$20,$J$12*$F$20,IF($J$18=$A$21,$J$12*$F$21,IF($J$18=$A$22,$J$12*$F$22,IF($J$18=$A$23,$J$12*$F$23,IF($J$18=$A$24,$J$12*$F$24,0)))))</f>
        <v>4.0762105263157891E-2</v>
      </c>
      <c r="L23" s="36"/>
      <c r="M23" s="29">
        <f t="shared" si="0"/>
        <v>8152.4210526315783</v>
      </c>
    </row>
    <row r="24" spans="1:15" ht="15.75" thickBot="1" x14ac:dyDescent="0.3">
      <c r="A24" s="16" t="s">
        <v>15</v>
      </c>
      <c r="B24" s="17">
        <v>5.5E-2</v>
      </c>
      <c r="C24" s="17">
        <v>3.5000000000000003E-2</v>
      </c>
      <c r="D24" s="17">
        <v>0.12740000000000001</v>
      </c>
      <c r="E24" s="17">
        <v>2.76E-2</v>
      </c>
      <c r="F24" s="17">
        <v>0.42</v>
      </c>
      <c r="G24" s="17">
        <v>0.33500000000000002</v>
      </c>
      <c r="J24" s="30" t="s">
        <v>44</v>
      </c>
      <c r="K24" s="39">
        <f>IF($J$18=$A$20,$J$12*$G$20,IF($J$18=$A$21,$J$12*$G$21,IF($J$18=$A$22,$J$12*$G$22,IF($J$18=$A$23,$J$12*$G$23,IF($J$18=$A$24,$J$12*$G$24,0)))))</f>
        <v>3.2512631578947369E-2</v>
      </c>
      <c r="L24" s="39"/>
      <c r="M24" s="31">
        <f t="shared" si="0"/>
        <v>6502.5263157894742</v>
      </c>
    </row>
    <row r="25" spans="1:15" ht="15.75" thickBot="1" x14ac:dyDescent="0.3">
      <c r="A25" s="16" t="s">
        <v>17</v>
      </c>
      <c r="B25" s="17">
        <v>0.13500000000000001</v>
      </c>
      <c r="C25" s="17">
        <v>0.1</v>
      </c>
      <c r="D25" s="17">
        <v>0.28270000000000001</v>
      </c>
      <c r="E25" s="17">
        <v>6.13E-2</v>
      </c>
      <c r="F25" s="17">
        <v>0.42099999999999999</v>
      </c>
      <c r="G25" s="16" t="s">
        <v>8</v>
      </c>
      <c r="J25" s="32" t="s">
        <v>68</v>
      </c>
      <c r="K25" s="38">
        <f>SUM(K19:L24)</f>
        <v>9.7052631578947363E-2</v>
      </c>
      <c r="L25" s="38"/>
      <c r="M25" s="33">
        <f>SUM(M19:M24)</f>
        <v>19410.526315789473</v>
      </c>
    </row>
  </sheetData>
  <mergeCells count="23">
    <mergeCell ref="A18:A19"/>
    <mergeCell ref="B18:G18"/>
    <mergeCell ref="E15:E16"/>
    <mergeCell ref="F15:G16"/>
    <mergeCell ref="I2:J2"/>
    <mergeCell ref="F9:F10"/>
    <mergeCell ref="E12:E13"/>
    <mergeCell ref="F13:I13"/>
    <mergeCell ref="J12:J13"/>
    <mergeCell ref="E3:E4"/>
    <mergeCell ref="F3:F4"/>
    <mergeCell ref="E6:E7"/>
    <mergeCell ref="F6:F7"/>
    <mergeCell ref="E9:E10"/>
    <mergeCell ref="J17:M17"/>
    <mergeCell ref="K19:L19"/>
    <mergeCell ref="K18:L18"/>
    <mergeCell ref="K25:L25"/>
    <mergeCell ref="K24:L24"/>
    <mergeCell ref="K23:L23"/>
    <mergeCell ref="K22:L22"/>
    <mergeCell ref="K21:L21"/>
    <mergeCell ref="K20:L20"/>
  </mergeCells>
  <phoneticPr fontId="4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B8D03-D21E-44C9-9D6F-2A2B93E4A8B5}">
  <dimension ref="A1:O26"/>
  <sheetViews>
    <sheetView topLeftCell="A6" workbookViewId="0">
      <selection activeCell="J17" sqref="J17:M17"/>
    </sheetView>
  </sheetViews>
  <sheetFormatPr defaultRowHeight="15" x14ac:dyDescent="0.25"/>
  <cols>
    <col min="3" max="3" width="14.7109375" bestFit="1" customWidth="1"/>
    <col min="5" max="5" width="15.5703125" customWidth="1"/>
    <col min="6" max="6" width="10.5703125" bestFit="1" customWidth="1"/>
    <col min="9" max="9" width="7.140625" bestFit="1" customWidth="1"/>
    <col min="10" max="10" width="26.7109375" bestFit="1" customWidth="1"/>
    <col min="11" max="11" width="7.5703125" bestFit="1" customWidth="1"/>
    <col min="12" max="12" width="20.28515625" bestFit="1" customWidth="1"/>
    <col min="13" max="13" width="11.85546875" customWidth="1"/>
  </cols>
  <sheetData>
    <row r="1" spans="1:15" ht="15.75" thickBot="1" x14ac:dyDescent="0.3"/>
    <row r="2" spans="1:15" ht="15.75" thickBot="1" x14ac:dyDescent="0.3">
      <c r="B2" s="2" t="s">
        <v>23</v>
      </c>
      <c r="C2" s="1" t="s">
        <v>24</v>
      </c>
      <c r="E2" s="2" t="s">
        <v>0</v>
      </c>
      <c r="F2" s="6">
        <f>C15</f>
        <v>1170000</v>
      </c>
      <c r="I2" s="49" t="s">
        <v>3</v>
      </c>
      <c r="J2" s="50"/>
      <c r="K2" s="7" t="s">
        <v>4</v>
      </c>
      <c r="L2" s="7" t="s">
        <v>5</v>
      </c>
    </row>
    <row r="3" spans="1:15" x14ac:dyDescent="0.25">
      <c r="A3" t="s">
        <v>25</v>
      </c>
      <c r="B3" s="3">
        <v>1</v>
      </c>
      <c r="C3" s="13">
        <v>0</v>
      </c>
      <c r="E3" s="58" t="s">
        <v>1</v>
      </c>
      <c r="F3" s="60">
        <v>20000</v>
      </c>
      <c r="I3" s="16" t="s">
        <v>6</v>
      </c>
      <c r="J3" s="16" t="s">
        <v>7</v>
      </c>
      <c r="K3" s="17">
        <v>4.4999999999999998E-2</v>
      </c>
      <c r="L3" s="16" t="s">
        <v>8</v>
      </c>
    </row>
    <row r="4" spans="1:15" ht="15.75" thickBot="1" x14ac:dyDescent="0.3">
      <c r="A4" t="s">
        <v>26</v>
      </c>
      <c r="B4" s="4">
        <v>2</v>
      </c>
      <c r="C4" s="14">
        <v>195000</v>
      </c>
      <c r="E4" s="59"/>
      <c r="F4" s="61"/>
      <c r="I4" s="16" t="s">
        <v>9</v>
      </c>
      <c r="J4" s="16" t="s">
        <v>10</v>
      </c>
      <c r="K4" s="17">
        <v>7.8E-2</v>
      </c>
      <c r="L4" s="18">
        <v>5940</v>
      </c>
    </row>
    <row r="5" spans="1:15" ht="15.75" thickBot="1" x14ac:dyDescent="0.3">
      <c r="A5" t="s">
        <v>27</v>
      </c>
      <c r="B5" s="4">
        <v>3</v>
      </c>
      <c r="C5" s="14"/>
      <c r="I5" s="16" t="s">
        <v>11</v>
      </c>
      <c r="J5" s="16" t="s">
        <v>12</v>
      </c>
      <c r="K5" s="17">
        <v>0.1</v>
      </c>
      <c r="L5" s="18">
        <v>13860</v>
      </c>
    </row>
    <row r="6" spans="1:15" x14ac:dyDescent="0.25">
      <c r="A6" t="s">
        <v>28</v>
      </c>
      <c r="B6" s="4">
        <v>4</v>
      </c>
      <c r="C6" s="14"/>
      <c r="E6" s="58" t="s">
        <v>2</v>
      </c>
      <c r="F6" s="62">
        <f>IF(F2&lt;=180000,K3,IF(AND(F2&gt;=180000.01,F2&lt;=360000),K4,IF(AND(F2&gt;=360000.01,F2&lt;=720000),K5,IF(AND(F2&gt;=720000.01,F2&lt;=1800000),K6,IF(AND(F2&gt;=1800000.01,F2&lt;=3600000),K7,IF(AND(F2&gt;=3600000.01,F2&lt;=4800000),K8,0))))))</f>
        <v>0.112</v>
      </c>
      <c r="I6" s="16" t="s">
        <v>13</v>
      </c>
      <c r="J6" s="16" t="s">
        <v>14</v>
      </c>
      <c r="K6" s="17">
        <v>0.112</v>
      </c>
      <c r="L6" s="18">
        <v>22500</v>
      </c>
    </row>
    <row r="7" spans="1:15" ht="15.75" thickBot="1" x14ac:dyDescent="0.3">
      <c r="A7" t="s">
        <v>29</v>
      </c>
      <c r="B7" s="4">
        <v>5</v>
      </c>
      <c r="C7" s="14"/>
      <c r="E7" s="59"/>
      <c r="F7" s="63"/>
      <c r="I7" s="16" t="s">
        <v>15</v>
      </c>
      <c r="J7" s="16" t="s">
        <v>16</v>
      </c>
      <c r="K7" s="17">
        <v>0.14699999999999999</v>
      </c>
      <c r="L7" s="18">
        <v>85500</v>
      </c>
    </row>
    <row r="8" spans="1:15" ht="15.75" thickBot="1" x14ac:dyDescent="0.3">
      <c r="A8" t="s">
        <v>30</v>
      </c>
      <c r="B8" s="4">
        <v>6</v>
      </c>
      <c r="C8" s="14"/>
      <c r="I8" s="16" t="s">
        <v>17</v>
      </c>
      <c r="J8" s="16" t="s">
        <v>18</v>
      </c>
      <c r="K8" s="17">
        <v>0.3</v>
      </c>
      <c r="L8" s="18">
        <v>720000</v>
      </c>
    </row>
    <row r="9" spans="1:15" x14ac:dyDescent="0.25">
      <c r="A9" t="s">
        <v>31</v>
      </c>
      <c r="B9" s="4">
        <v>7</v>
      </c>
      <c r="C9" s="14"/>
      <c r="E9" s="58" t="s">
        <v>19</v>
      </c>
      <c r="F9" s="51">
        <f>IF(F6=K3,0,IF(F6=K4,L4,IF(F6=K5,L5,IF(F6=K6,L6,IF(F6=K7,L7,IF(F6=K8,L8,0))))))</f>
        <v>22500</v>
      </c>
    </row>
    <row r="10" spans="1:15" ht="15.75" thickBot="1" x14ac:dyDescent="0.3">
      <c r="A10" t="s">
        <v>32</v>
      </c>
      <c r="B10" s="4">
        <v>8</v>
      </c>
      <c r="C10" s="14"/>
      <c r="E10" s="59"/>
      <c r="F10" s="52"/>
    </row>
    <row r="11" spans="1:15" ht="15.75" thickBot="1" x14ac:dyDescent="0.3">
      <c r="A11" t="s">
        <v>33</v>
      </c>
      <c r="B11" s="4">
        <v>9</v>
      </c>
      <c r="C11" s="14"/>
      <c r="J11" s="11"/>
    </row>
    <row r="12" spans="1:15" ht="15.75" thickBot="1" x14ac:dyDescent="0.3">
      <c r="A12" t="s">
        <v>34</v>
      </c>
      <c r="B12" s="4">
        <v>10</v>
      </c>
      <c r="C12" s="14"/>
      <c r="E12" s="53" t="s">
        <v>20</v>
      </c>
      <c r="F12" s="12" t="s">
        <v>21</v>
      </c>
      <c r="G12" s="12"/>
      <c r="H12" s="12"/>
      <c r="I12" s="12"/>
      <c r="J12" s="51">
        <f>(((F2*F6)-F9)/F2)</f>
        <v>9.276923076923077E-2</v>
      </c>
    </row>
    <row r="13" spans="1:15" ht="15.75" thickBot="1" x14ac:dyDescent="0.3">
      <c r="A13" t="s">
        <v>35</v>
      </c>
      <c r="B13" s="4">
        <v>11</v>
      </c>
      <c r="C13" s="14"/>
      <c r="E13" s="54"/>
      <c r="F13" s="55" t="s">
        <v>0</v>
      </c>
      <c r="G13" s="55"/>
      <c r="H13" s="55"/>
      <c r="I13" s="55"/>
      <c r="J13" s="52"/>
    </row>
    <row r="14" spans="1:15" ht="15.75" thickBot="1" x14ac:dyDescent="0.3">
      <c r="A14" t="s">
        <v>36</v>
      </c>
      <c r="B14" s="5">
        <v>12</v>
      </c>
      <c r="C14" s="15"/>
    </row>
    <row r="15" spans="1:15" x14ac:dyDescent="0.25">
      <c r="C15">
        <f>(12*SUM(C3:C14))/COUNTA(C3:C14)</f>
        <v>1170000</v>
      </c>
      <c r="E15" s="45" t="s">
        <v>22</v>
      </c>
      <c r="F15" s="45">
        <f>F3*J12</f>
        <v>1855.3846153846155</v>
      </c>
      <c r="G15" s="47"/>
      <c r="O15" s="24"/>
    </row>
    <row r="16" spans="1:15" ht="15.75" thickBot="1" x14ac:dyDescent="0.3">
      <c r="E16" s="46"/>
      <c r="F16" s="46"/>
      <c r="G16" s="48"/>
    </row>
    <row r="17" spans="1:13" ht="15.75" thickBot="1" x14ac:dyDescent="0.3">
      <c r="J17" s="64" t="s">
        <v>69</v>
      </c>
      <c r="K17" s="65"/>
      <c r="L17" s="65"/>
      <c r="M17" s="66"/>
    </row>
    <row r="18" spans="1:13" x14ac:dyDescent="0.25">
      <c r="A18" s="40" t="s">
        <v>37</v>
      </c>
      <c r="B18" s="42" t="s">
        <v>38</v>
      </c>
      <c r="C18" s="43"/>
      <c r="D18" s="43"/>
      <c r="E18" s="43"/>
      <c r="F18" s="43"/>
      <c r="G18" s="43"/>
      <c r="H18" s="44"/>
      <c r="J18" s="34" t="str">
        <f>IF(F6=K6,I6,IF(F6=K3,I3,IF(F6=K4,I4,IF(F6=K5,I5,IF(F6=K7,I7,IF(F6=K8,I8,0))))))</f>
        <v>4ª Faixa</v>
      </c>
      <c r="K18" s="37" t="s">
        <v>66</v>
      </c>
      <c r="L18" s="37"/>
      <c r="M18" s="35" t="s">
        <v>67</v>
      </c>
    </row>
    <row r="19" spans="1:13" x14ac:dyDescent="0.25">
      <c r="A19" s="41"/>
      <c r="B19" s="19" t="s">
        <v>39</v>
      </c>
      <c r="C19" s="19" t="s">
        <v>40</v>
      </c>
      <c r="D19" s="19" t="s">
        <v>41</v>
      </c>
      <c r="E19" s="19" t="s">
        <v>42</v>
      </c>
      <c r="F19" s="19" t="s">
        <v>43</v>
      </c>
      <c r="G19" s="19" t="s">
        <v>45</v>
      </c>
      <c r="H19" s="19" t="s">
        <v>44</v>
      </c>
      <c r="J19" s="27" t="s">
        <v>39</v>
      </c>
      <c r="K19" s="36">
        <f>IF($J$18=$A$20,$J$12*$B$20,IF($J$18=$A$21,$J$12*$B$21,IF($J$18=$A$22,$J$12*$B$22,IF($J$18=$A$23,$J$12*$B$23,IF($J$18=$A$24,$J$12*$B$24,0)))))</f>
        <v>5.1023076923076924E-3</v>
      </c>
      <c r="L19" s="36"/>
      <c r="M19" s="29">
        <f>$F$3*K19</f>
        <v>102.04615384615384</v>
      </c>
    </row>
    <row r="20" spans="1:13" x14ac:dyDescent="0.25">
      <c r="A20" s="16" t="s">
        <v>6</v>
      </c>
      <c r="B20" s="17">
        <v>5.5E-2</v>
      </c>
      <c r="C20" s="17">
        <v>3.5000000000000003E-2</v>
      </c>
      <c r="D20" s="17">
        <v>0.11509999999999999</v>
      </c>
      <c r="E20" s="17">
        <v>2.4899999999999999E-2</v>
      </c>
      <c r="F20" s="17">
        <v>0.375</v>
      </c>
      <c r="G20" s="17">
        <v>7.4999999999999997E-2</v>
      </c>
      <c r="H20" s="17">
        <v>0.32</v>
      </c>
      <c r="J20" s="27" t="s">
        <v>40</v>
      </c>
      <c r="K20" s="36">
        <f>IF($J$18=$A$20,$J$12*$C$20,IF($J$18=$A$21,$J$12*$C$21,IF($J$18=$A$22,$J$12*$C$22,IF($J$18=$A$23,$J$12*$C$23,IF($J$18=$A$24,$J$12*$C$24,0)))))</f>
        <v>3.2469230769230774E-3</v>
      </c>
      <c r="L20" s="36"/>
      <c r="M20" s="29">
        <f t="shared" ref="M20:M25" si="0">$F$3*K20</f>
        <v>64.938461538461553</v>
      </c>
    </row>
    <row r="21" spans="1:13" x14ac:dyDescent="0.25">
      <c r="A21" s="16" t="s">
        <v>9</v>
      </c>
      <c r="B21" s="17">
        <v>5.5E-2</v>
      </c>
      <c r="C21" s="17">
        <v>3.5000000000000003E-2</v>
      </c>
      <c r="D21" s="17">
        <v>0.11509999999999999</v>
      </c>
      <c r="E21" s="17">
        <v>2.4899999999999999E-2</v>
      </c>
      <c r="F21" s="17">
        <v>0.375</v>
      </c>
      <c r="G21" s="17">
        <v>7.4999999999999997E-2</v>
      </c>
      <c r="H21" s="17">
        <v>0.32</v>
      </c>
      <c r="J21" s="27" t="s">
        <v>64</v>
      </c>
      <c r="K21" s="36">
        <f>IF($J$18=$A$20,$J$12*$D$20,IF($J$18=$A$21,$J$12*$D$21,IF($J$18=$A$22,$J$12*$D$22,IF($J$18=$A$23,$J$12*$D$23,IF($J$18=$A$24,$J$12*$D$24,0)))))</f>
        <v>1.0677738461538461E-2</v>
      </c>
      <c r="L21" s="36"/>
      <c r="M21" s="29">
        <f t="shared" si="0"/>
        <v>213.55476923076921</v>
      </c>
    </row>
    <row r="22" spans="1:13" x14ac:dyDescent="0.25">
      <c r="A22" s="16" t="s">
        <v>11</v>
      </c>
      <c r="B22" s="17">
        <v>5.5E-2</v>
      </c>
      <c r="C22" s="17">
        <v>3.5000000000000003E-2</v>
      </c>
      <c r="D22" s="17">
        <v>0.11509999999999999</v>
      </c>
      <c r="E22" s="17">
        <v>2.4899999999999999E-2</v>
      </c>
      <c r="F22" s="17">
        <v>0.375</v>
      </c>
      <c r="G22" s="17">
        <v>7.4999999999999997E-2</v>
      </c>
      <c r="H22" s="17">
        <v>0.32</v>
      </c>
      <c r="J22" s="27" t="s">
        <v>65</v>
      </c>
      <c r="K22" s="36">
        <f>IF($J$18=$A$20,$J$12*$E$20,IF($J$18=$A$21,$J$12*$E$21,IF($J$18=$A$22,$J$12*$E$22,IF($J$18=$A$23,$J$12*$E$23,IF($J$18=$A$24,$J$12*$E$24,0)))))</f>
        <v>2.3099538461538462E-3</v>
      </c>
      <c r="L22" s="36"/>
      <c r="M22" s="29">
        <f t="shared" si="0"/>
        <v>46.199076923076923</v>
      </c>
    </row>
    <row r="23" spans="1:13" x14ac:dyDescent="0.25">
      <c r="A23" s="16" t="s">
        <v>13</v>
      </c>
      <c r="B23" s="17">
        <v>5.5E-2</v>
      </c>
      <c r="C23" s="17">
        <v>3.5000000000000003E-2</v>
      </c>
      <c r="D23" s="17">
        <v>0.11509999999999999</v>
      </c>
      <c r="E23" s="17">
        <v>2.4899999999999999E-2</v>
      </c>
      <c r="F23" s="17">
        <v>0.375</v>
      </c>
      <c r="G23" s="17">
        <v>7.4999999999999997E-2</v>
      </c>
      <c r="H23" s="17">
        <v>0.32</v>
      </c>
      <c r="J23" s="27" t="s">
        <v>43</v>
      </c>
      <c r="K23" s="36">
        <f>IF($J$18=$A$20,$J$12*$F$20,IF($J$18=$A$21,$J$12*$F$21,IF($J$18=$A$22,$J$12*$F$22,IF($J$18=$A$23,$J$12*$F$23,IF($J$18=$A$24,$J$12*$F$24,0)))))</f>
        <v>3.4788461538461539E-2</v>
      </c>
      <c r="L23" s="36"/>
      <c r="M23" s="29">
        <f t="shared" si="0"/>
        <v>695.76923076923083</v>
      </c>
    </row>
    <row r="24" spans="1:13" x14ac:dyDescent="0.25">
      <c r="A24" s="16" t="s">
        <v>15</v>
      </c>
      <c r="B24" s="17">
        <v>5.5E-2</v>
      </c>
      <c r="C24" s="17">
        <v>3.5000000000000003E-2</v>
      </c>
      <c r="D24" s="17">
        <v>0.11509999999999999</v>
      </c>
      <c r="E24" s="17">
        <v>2.4899999999999999E-2</v>
      </c>
      <c r="F24" s="17">
        <v>0.375</v>
      </c>
      <c r="G24" s="17">
        <v>7.4999999999999997E-2</v>
      </c>
      <c r="H24" s="17">
        <v>0.32</v>
      </c>
      <c r="J24" s="27" t="s">
        <v>45</v>
      </c>
      <c r="K24" s="36">
        <f>IF($J$18=$A$20,$J$12*$G$20,IF($J$18=$A$21,$J$12*$G$21,IF($J$18=$A$22,$J$12*$G$22,IF($J$18=$A$23,$J$12*$G$23,IF($J$18=$A$24,$J$12*$G$24,0)))))</f>
        <v>6.957692307692308E-3</v>
      </c>
      <c r="L24" s="36"/>
      <c r="M24" s="29">
        <f t="shared" si="0"/>
        <v>139.15384615384616</v>
      </c>
    </row>
    <row r="25" spans="1:13" ht="15.75" thickBot="1" x14ac:dyDescent="0.3">
      <c r="A25" s="16" t="s">
        <v>17</v>
      </c>
      <c r="B25" s="17">
        <v>8.5000000000000006E-2</v>
      </c>
      <c r="C25" s="17">
        <v>7.4999999999999997E-2</v>
      </c>
      <c r="D25" s="17">
        <v>0.20960000000000001</v>
      </c>
      <c r="E25" s="17">
        <v>4.5400000000000003E-2</v>
      </c>
      <c r="F25" s="17">
        <v>0.23499999999999999</v>
      </c>
      <c r="G25" s="17">
        <v>0.35</v>
      </c>
      <c r="H25" s="16" t="s">
        <v>8</v>
      </c>
      <c r="J25" s="30" t="s">
        <v>44</v>
      </c>
      <c r="K25" s="39">
        <f>IF($J$18=$A$20,$J$12*$H$20,IF($J$18=$A$21,$J$12*$H$21,IF($J$18=$A$22,$J$12*$H$22,IF($J$18=$A$23,$J$12*$H$23,IF($J$18=$A$24,$J$12*$H$24,0)))))</f>
        <v>2.9686153846153848E-2</v>
      </c>
      <c r="L25" s="39"/>
      <c r="M25" s="31">
        <f t="shared" si="0"/>
        <v>593.72307692307697</v>
      </c>
    </row>
    <row r="26" spans="1:13" ht="15.75" thickBot="1" x14ac:dyDescent="0.3">
      <c r="J26" s="32" t="s">
        <v>68</v>
      </c>
      <c r="K26" s="38">
        <f>SUM(K19:L25)</f>
        <v>9.276923076923077E-2</v>
      </c>
      <c r="L26" s="38"/>
      <c r="M26" s="33">
        <f>SUM(M19:M25)</f>
        <v>1855.3846153846157</v>
      </c>
    </row>
  </sheetData>
  <mergeCells count="24">
    <mergeCell ref="K23:L23"/>
    <mergeCell ref="K25:L25"/>
    <mergeCell ref="K26:L26"/>
    <mergeCell ref="K24:L24"/>
    <mergeCell ref="K18:L18"/>
    <mergeCell ref="K19:L19"/>
    <mergeCell ref="K20:L20"/>
    <mergeCell ref="K21:L21"/>
    <mergeCell ref="K22:L22"/>
    <mergeCell ref="A18:A19"/>
    <mergeCell ref="B18:H18"/>
    <mergeCell ref="I2:J2"/>
    <mergeCell ref="E3:E4"/>
    <mergeCell ref="F3:F4"/>
    <mergeCell ref="E6:E7"/>
    <mergeCell ref="F6:F7"/>
    <mergeCell ref="E9:E10"/>
    <mergeCell ref="F9:F10"/>
    <mergeCell ref="E12:E13"/>
    <mergeCell ref="J12:J13"/>
    <mergeCell ref="F13:I13"/>
    <mergeCell ref="E15:E16"/>
    <mergeCell ref="F15:G16"/>
    <mergeCell ref="J17:M17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B0AE7-366B-4445-80B1-AABE13220C38}">
  <dimension ref="A1:M28"/>
  <sheetViews>
    <sheetView workbookViewId="0">
      <selection sqref="A1:XFD1048576"/>
    </sheetView>
  </sheetViews>
  <sheetFormatPr defaultRowHeight="15" x14ac:dyDescent="0.25"/>
  <cols>
    <col min="3" max="3" width="14.7109375" bestFit="1" customWidth="1"/>
    <col min="5" max="5" width="15.5703125" customWidth="1"/>
    <col min="6" max="6" width="10.5703125" bestFit="1" customWidth="1"/>
    <col min="9" max="9" width="7.140625" bestFit="1" customWidth="1"/>
    <col min="10" max="10" width="26.7109375" bestFit="1" customWidth="1"/>
    <col min="11" max="11" width="7.5703125" bestFit="1" customWidth="1"/>
    <col min="12" max="12" width="20.28515625" bestFit="1" customWidth="1"/>
    <col min="13" max="13" width="12.7109375" customWidth="1"/>
  </cols>
  <sheetData>
    <row r="1" spans="1:12" ht="15.75" thickBot="1" x14ac:dyDescent="0.3"/>
    <row r="2" spans="1:12" ht="15.75" thickBot="1" x14ac:dyDescent="0.3">
      <c r="B2" s="2" t="s">
        <v>23</v>
      </c>
      <c r="C2" s="1" t="s">
        <v>24</v>
      </c>
      <c r="E2" s="2" t="s">
        <v>0</v>
      </c>
      <c r="F2" s="6">
        <f>C15</f>
        <v>1170000</v>
      </c>
      <c r="I2" s="49" t="s">
        <v>3</v>
      </c>
      <c r="J2" s="50"/>
      <c r="K2" s="7" t="s">
        <v>4</v>
      </c>
      <c r="L2" s="7" t="s">
        <v>5</v>
      </c>
    </row>
    <row r="3" spans="1:12" x14ac:dyDescent="0.25">
      <c r="A3" t="s">
        <v>25</v>
      </c>
      <c r="B3" s="3">
        <v>1</v>
      </c>
      <c r="C3" s="13">
        <v>0</v>
      </c>
      <c r="E3" s="58" t="s">
        <v>1</v>
      </c>
      <c r="F3" s="60">
        <v>20000</v>
      </c>
      <c r="I3" s="16" t="s">
        <v>6</v>
      </c>
      <c r="J3" s="16" t="s">
        <v>7</v>
      </c>
      <c r="K3" s="17">
        <v>0.06</v>
      </c>
      <c r="L3" s="16" t="s">
        <v>8</v>
      </c>
    </row>
    <row r="4" spans="1:12" ht="15.75" thickBot="1" x14ac:dyDescent="0.3">
      <c r="A4" t="s">
        <v>26</v>
      </c>
      <c r="B4" s="4">
        <v>2</v>
      </c>
      <c r="C4" s="14">
        <v>195000</v>
      </c>
      <c r="E4" s="59"/>
      <c r="F4" s="61"/>
      <c r="I4" s="16" t="s">
        <v>9</v>
      </c>
      <c r="J4" s="16" t="s">
        <v>10</v>
      </c>
      <c r="K4" s="17">
        <v>0.112</v>
      </c>
      <c r="L4" s="18">
        <v>9360</v>
      </c>
    </row>
    <row r="5" spans="1:12" ht="15.75" thickBot="1" x14ac:dyDescent="0.3">
      <c r="A5" t="s">
        <v>27</v>
      </c>
      <c r="B5" s="4">
        <v>3</v>
      </c>
      <c r="C5" s="14"/>
      <c r="I5" s="16" t="s">
        <v>11</v>
      </c>
      <c r="J5" s="16" t="s">
        <v>12</v>
      </c>
      <c r="K5" s="17">
        <v>0.13500000000000001</v>
      </c>
      <c r="L5" s="18">
        <v>17640</v>
      </c>
    </row>
    <row r="6" spans="1:12" x14ac:dyDescent="0.25">
      <c r="A6" t="s">
        <v>28</v>
      </c>
      <c r="B6" s="4">
        <v>4</v>
      </c>
      <c r="C6" s="14"/>
      <c r="E6" s="58" t="s">
        <v>2</v>
      </c>
      <c r="F6" s="62">
        <f>IF(F2&lt;=180000,K3,IF(AND(F2&gt;=180000.01,F2&lt;=360000),K4,IF(AND(F2&gt;=360000.01,F2&lt;=720000),K5,IF(AND(F2&gt;=720000.01,F2&lt;=1800000),K6,IF(AND(F2&gt;=1800000.01,F2&lt;=3600000),K7,IF(AND(F2&gt;=3600000.01,F2&lt;=4800000),K8,0))))))</f>
        <v>0.16</v>
      </c>
      <c r="I6" s="16" t="s">
        <v>13</v>
      </c>
      <c r="J6" s="16" t="s">
        <v>14</v>
      </c>
      <c r="K6" s="17">
        <v>0.16</v>
      </c>
      <c r="L6" s="18">
        <v>35640</v>
      </c>
    </row>
    <row r="7" spans="1:12" ht="15.75" thickBot="1" x14ac:dyDescent="0.3">
      <c r="A7" t="s">
        <v>29</v>
      </c>
      <c r="B7" s="4">
        <v>5</v>
      </c>
      <c r="C7" s="14"/>
      <c r="E7" s="59"/>
      <c r="F7" s="63"/>
      <c r="I7" s="16" t="s">
        <v>15</v>
      </c>
      <c r="J7" s="16" t="s">
        <v>16</v>
      </c>
      <c r="K7" s="17">
        <v>0.21</v>
      </c>
      <c r="L7" s="18">
        <v>125640</v>
      </c>
    </row>
    <row r="8" spans="1:12" ht="15.75" thickBot="1" x14ac:dyDescent="0.3">
      <c r="A8" t="s">
        <v>30</v>
      </c>
      <c r="B8" s="4">
        <v>6</v>
      </c>
      <c r="C8" s="14"/>
      <c r="I8" s="16" t="s">
        <v>17</v>
      </c>
      <c r="J8" s="16" t="s">
        <v>18</v>
      </c>
      <c r="K8" s="17">
        <v>0.33</v>
      </c>
      <c r="L8" s="18">
        <v>648000</v>
      </c>
    </row>
    <row r="9" spans="1:12" x14ac:dyDescent="0.25">
      <c r="A9" t="s">
        <v>31</v>
      </c>
      <c r="B9" s="4">
        <v>7</v>
      </c>
      <c r="C9" s="14"/>
      <c r="E9" s="58" t="s">
        <v>19</v>
      </c>
      <c r="F9" s="51">
        <f>IF(F6=K3,0,IF(F6=K4,L4,IF(F6=K5,L5,IF(F6=K6,L6,IF(F6=K7,L7,IF(F6=K8,L8,0))))))</f>
        <v>35640</v>
      </c>
    </row>
    <row r="10" spans="1:12" ht="15.75" thickBot="1" x14ac:dyDescent="0.3">
      <c r="A10" t="s">
        <v>32</v>
      </c>
      <c r="B10" s="4">
        <v>8</v>
      </c>
      <c r="C10" s="14"/>
      <c r="E10" s="59"/>
      <c r="F10" s="52"/>
    </row>
    <row r="11" spans="1:12" ht="15.75" thickBot="1" x14ac:dyDescent="0.3">
      <c r="A11" t="s">
        <v>33</v>
      </c>
      <c r="B11" s="4">
        <v>9</v>
      </c>
      <c r="C11" s="14"/>
      <c r="J11" s="11"/>
    </row>
    <row r="12" spans="1:12" ht="15.75" thickBot="1" x14ac:dyDescent="0.3">
      <c r="A12" t="s">
        <v>34</v>
      </c>
      <c r="B12" s="4">
        <v>10</v>
      </c>
      <c r="C12" s="14"/>
      <c r="E12" s="53" t="s">
        <v>20</v>
      </c>
      <c r="F12" s="12" t="s">
        <v>21</v>
      </c>
      <c r="G12" s="12"/>
      <c r="H12" s="12"/>
      <c r="I12" s="12"/>
      <c r="J12" s="51">
        <f>(((F2*F6)-F9)/F2)</f>
        <v>0.12953846153846155</v>
      </c>
    </row>
    <row r="13" spans="1:12" ht="15.75" thickBot="1" x14ac:dyDescent="0.3">
      <c r="A13" t="s">
        <v>35</v>
      </c>
      <c r="B13" s="4">
        <v>11</v>
      </c>
      <c r="C13" s="14"/>
      <c r="E13" s="54"/>
      <c r="F13" s="55" t="s">
        <v>0</v>
      </c>
      <c r="G13" s="55"/>
      <c r="H13" s="55"/>
      <c r="I13" s="55"/>
      <c r="J13" s="52"/>
    </row>
    <row r="14" spans="1:12" ht="15.75" thickBot="1" x14ac:dyDescent="0.3">
      <c r="A14" t="s">
        <v>36</v>
      </c>
      <c r="B14" s="5">
        <v>12</v>
      </c>
      <c r="C14" s="15"/>
    </row>
    <row r="15" spans="1:12" x14ac:dyDescent="0.25">
      <c r="C15">
        <f>(12*SUM(C3:C14))/COUNTA(C3:C14)</f>
        <v>1170000</v>
      </c>
      <c r="E15" s="45" t="s">
        <v>22</v>
      </c>
      <c r="F15" s="45">
        <f>F3*J12</f>
        <v>2590.7692307692309</v>
      </c>
      <c r="G15" s="47"/>
    </row>
    <row r="16" spans="1:12" ht="15.75" thickBot="1" x14ac:dyDescent="0.3">
      <c r="E16" s="46"/>
      <c r="F16" s="46"/>
      <c r="G16" s="48"/>
    </row>
    <row r="17" spans="1:13" x14ac:dyDescent="0.25">
      <c r="J17" s="67" t="s">
        <v>69</v>
      </c>
      <c r="K17" s="68"/>
      <c r="L17" s="68"/>
      <c r="M17" s="69"/>
    </row>
    <row r="18" spans="1:13" ht="15" customHeight="1" x14ac:dyDescent="0.25">
      <c r="A18" s="40" t="s">
        <v>37</v>
      </c>
      <c r="B18" s="42" t="s">
        <v>38</v>
      </c>
      <c r="C18" s="43"/>
      <c r="D18" s="43"/>
      <c r="E18" s="43"/>
      <c r="F18" s="43"/>
      <c r="G18" s="43"/>
      <c r="J18" s="27" t="str">
        <f>IF(F6=K6,I6,IF(F6=K3,I3,IF(F6=K4,I4,IF(F6=K5,I5,IF(F6=K7,I7,IF(F6=K8,I8,0))))))</f>
        <v>4ª Faixa</v>
      </c>
      <c r="K18" s="72" t="s">
        <v>66</v>
      </c>
      <c r="L18" s="72"/>
      <c r="M18" s="28" t="s">
        <v>67</v>
      </c>
    </row>
    <row r="19" spans="1:13" x14ac:dyDescent="0.25">
      <c r="A19" s="41"/>
      <c r="B19" s="26" t="s">
        <v>39</v>
      </c>
      <c r="C19" s="19" t="s">
        <v>40</v>
      </c>
      <c r="D19" s="19" t="s">
        <v>41</v>
      </c>
      <c r="E19" s="19" t="s">
        <v>42</v>
      </c>
      <c r="F19" s="19" t="s">
        <v>43</v>
      </c>
      <c r="G19" s="19" t="s">
        <v>46</v>
      </c>
      <c r="J19" s="27" t="s">
        <v>39</v>
      </c>
      <c r="K19" s="36">
        <f>IF($J$18=$A$20,$J$12*$B$20,IF($J$18=$A$21,$J$12*$B$21,IF($J$18=$A$22,$J$12*$B$22,IF($J$18=$A$23,$J$12*$B$23,IF($J$18=$A$24,$J$12*$B$24,0)))))</f>
        <v>5.1815384615384623E-3</v>
      </c>
      <c r="L19" s="36"/>
      <c r="M19" s="29">
        <f>$F$3*K19</f>
        <v>103.63076923076925</v>
      </c>
    </row>
    <row r="20" spans="1:13" x14ac:dyDescent="0.25">
      <c r="A20" s="16" t="s">
        <v>6</v>
      </c>
      <c r="B20" s="25">
        <v>0.04</v>
      </c>
      <c r="C20" s="17">
        <v>3.5000000000000003E-2</v>
      </c>
      <c r="D20" s="17">
        <v>0.12820000000000001</v>
      </c>
      <c r="E20" s="17">
        <v>2.7799999999999998E-2</v>
      </c>
      <c r="F20" s="17">
        <v>0.434</v>
      </c>
      <c r="G20" s="17">
        <v>0.33500000000000002</v>
      </c>
      <c r="J20" s="27" t="s">
        <v>40</v>
      </c>
      <c r="K20" s="36">
        <f>IF($J$18=$A$20,$J$12*$C$20,IF($J$18=$A$21,$J$12*$C$21,IF($J$18=$A$22,$J$12*$C$22,IF($J$18=$A$23,$J$12*$C$23,IF($J$18=$A$24,$J$12*$C$24,0)))))</f>
        <v>4.5338461538461548E-3</v>
      </c>
      <c r="L20" s="36"/>
      <c r="M20" s="29">
        <f t="shared" ref="M20:M24" si="0">$F$3*K20</f>
        <v>90.676923076923103</v>
      </c>
    </row>
    <row r="21" spans="1:13" x14ac:dyDescent="0.25">
      <c r="A21" s="16" t="s">
        <v>9</v>
      </c>
      <c r="B21" s="25">
        <v>0.04</v>
      </c>
      <c r="C21" s="17">
        <v>3.5000000000000003E-2</v>
      </c>
      <c r="D21" s="17">
        <v>0.14050000000000001</v>
      </c>
      <c r="E21" s="17">
        <v>3.0499999999999999E-2</v>
      </c>
      <c r="F21" s="17">
        <v>0.434</v>
      </c>
      <c r="G21" s="17">
        <v>0.32</v>
      </c>
      <c r="J21" s="27" t="s">
        <v>64</v>
      </c>
      <c r="K21" s="36">
        <f>IF($J$18=$A$20,$J$12*$D$20,IF($J$18=$A$21,$J$12*$D$21,IF($J$18=$A$22,$J$12*$D$22,IF($J$18=$A$23,$J$12*$D$23,IF($J$18=$A$24,$J$12*$D$24,0)))))</f>
        <v>1.7669046153846155E-2</v>
      </c>
      <c r="L21" s="36"/>
      <c r="M21" s="29">
        <f t="shared" si="0"/>
        <v>353.38092307692312</v>
      </c>
    </row>
    <row r="22" spans="1:13" x14ac:dyDescent="0.25">
      <c r="A22" s="16" t="s">
        <v>11</v>
      </c>
      <c r="B22" s="25">
        <v>0.04</v>
      </c>
      <c r="C22" s="17">
        <v>3.5000000000000003E-2</v>
      </c>
      <c r="D22" s="17">
        <v>0.13639999999999999</v>
      </c>
      <c r="E22" s="17">
        <v>2.9600000000000001E-2</v>
      </c>
      <c r="F22" s="17">
        <v>0.434</v>
      </c>
      <c r="G22" s="17">
        <v>0.32500000000000001</v>
      </c>
      <c r="J22" s="27" t="s">
        <v>65</v>
      </c>
      <c r="K22" s="36">
        <f>IF($J$18=$A$20,$J$12*$E$20,IF($J$18=$A$21,$J$12*$E$21,IF($J$18=$A$22,$J$12*$E$22,IF($J$18=$A$23,$J$12*$E$23,IF($J$18=$A$24,$J$12*$E$24,0)))))</f>
        <v>3.834338461538462E-3</v>
      </c>
      <c r="L22" s="36"/>
      <c r="M22" s="29">
        <f t="shared" si="0"/>
        <v>76.686769230769244</v>
      </c>
    </row>
    <row r="23" spans="1:13" x14ac:dyDescent="0.25">
      <c r="A23" s="16" t="s">
        <v>13</v>
      </c>
      <c r="B23" s="25">
        <v>0.04</v>
      </c>
      <c r="C23" s="17">
        <v>3.5000000000000003E-2</v>
      </c>
      <c r="D23" s="17">
        <v>0.13639999999999999</v>
      </c>
      <c r="E23" s="17">
        <v>2.9600000000000001E-2</v>
      </c>
      <c r="F23" s="17">
        <v>0.434</v>
      </c>
      <c r="G23" s="17">
        <v>0.32500000000000001</v>
      </c>
      <c r="J23" s="27" t="s">
        <v>43</v>
      </c>
      <c r="K23" s="36">
        <f>IF($J$18=$A$20,$J$12*$F$20,IF($J$18=$A$21,$J$12*$F$21,IF($J$18=$A$22,$J$12*$F$22,IF($J$18=$A$23,$J$12*$F$23,IF($J$18=$A$24,$J$12*$F$24,0)))))</f>
        <v>5.6219692307692311E-2</v>
      </c>
      <c r="L23" s="36"/>
      <c r="M23" s="29">
        <f t="shared" si="0"/>
        <v>1124.3938461538462</v>
      </c>
    </row>
    <row r="24" spans="1:13" ht="13.5" customHeight="1" thickBot="1" x14ac:dyDescent="0.3">
      <c r="A24" s="16" t="s">
        <v>15</v>
      </c>
      <c r="B24" s="25">
        <v>0.04</v>
      </c>
      <c r="C24" s="17">
        <v>3.5000000000000003E-2</v>
      </c>
      <c r="D24" s="17">
        <v>0.12820000000000001</v>
      </c>
      <c r="E24" s="17">
        <v>2.7799999999999998E-2</v>
      </c>
      <c r="F24" s="17">
        <v>0.434</v>
      </c>
      <c r="G24" s="17">
        <v>0.33500000000000002</v>
      </c>
      <c r="J24" s="30" t="s">
        <v>49</v>
      </c>
      <c r="K24" s="39">
        <f>IF($J$18=$A$20,$J$12*$G$20,IF($J$18=$A$21,$J$12*$G$21,IF($J$18=$A$22,$J$12*$G$22,IF($J$18=$A$23,$J$12*$G$23,IF($J$18=$A$24,$J$12*$G$24,0)))))</f>
        <v>4.2100000000000005E-2</v>
      </c>
      <c r="L24" s="39"/>
      <c r="M24" s="31">
        <f t="shared" si="0"/>
        <v>842.00000000000011</v>
      </c>
    </row>
    <row r="25" spans="1:13" ht="15.75" thickBot="1" x14ac:dyDescent="0.3">
      <c r="A25" s="16" t="s">
        <v>17</v>
      </c>
      <c r="B25" s="25">
        <v>0.35</v>
      </c>
      <c r="C25" s="17">
        <v>0.15</v>
      </c>
      <c r="D25" s="17">
        <v>0.1603</v>
      </c>
      <c r="E25" s="17">
        <v>3.4700000000000002E-2</v>
      </c>
      <c r="F25" s="17">
        <v>0.30499999999999999</v>
      </c>
      <c r="G25" s="16" t="s">
        <v>8</v>
      </c>
      <c r="J25" s="32" t="s">
        <v>68</v>
      </c>
      <c r="K25" s="38">
        <f>SUM(K19:L24)</f>
        <v>0.12953846153846155</v>
      </c>
      <c r="L25" s="38"/>
      <c r="M25" s="33">
        <f>SUM(M19:M24)</f>
        <v>2590.7692307692309</v>
      </c>
    </row>
    <row r="26" spans="1:13" ht="36" customHeight="1" x14ac:dyDescent="0.25">
      <c r="A26" s="70" t="s">
        <v>47</v>
      </c>
      <c r="B26" s="71"/>
      <c r="C26" s="71"/>
      <c r="D26" s="71"/>
      <c r="E26" s="71"/>
      <c r="F26" s="71"/>
      <c r="G26" s="71"/>
    </row>
    <row r="27" spans="1:13" x14ac:dyDescent="0.25">
      <c r="A27" s="19" t="s">
        <v>48</v>
      </c>
      <c r="B27" s="19" t="s">
        <v>39</v>
      </c>
      <c r="C27" s="26" t="s">
        <v>40</v>
      </c>
      <c r="D27" s="19" t="s">
        <v>41</v>
      </c>
      <c r="E27" s="19" t="s">
        <v>42</v>
      </c>
      <c r="F27" s="19" t="s">
        <v>43</v>
      </c>
      <c r="G27" s="19" t="s">
        <v>49</v>
      </c>
    </row>
    <row r="28" spans="1:13" ht="84" x14ac:dyDescent="0.25">
      <c r="A28" s="16" t="s">
        <v>50</v>
      </c>
      <c r="B28" s="16" t="s">
        <v>51</v>
      </c>
      <c r="C28" s="21" t="s">
        <v>52</v>
      </c>
      <c r="D28" s="16" t="s">
        <v>53</v>
      </c>
      <c r="E28" s="16" t="s">
        <v>54</v>
      </c>
      <c r="F28" s="16" t="s">
        <v>55</v>
      </c>
      <c r="G28" s="16" t="s">
        <v>56</v>
      </c>
    </row>
  </sheetData>
  <mergeCells count="24">
    <mergeCell ref="K23:L23"/>
    <mergeCell ref="K24:L24"/>
    <mergeCell ref="K25:L25"/>
    <mergeCell ref="B18:G18"/>
    <mergeCell ref="A26:G26"/>
    <mergeCell ref="K18:L18"/>
    <mergeCell ref="K19:L19"/>
    <mergeCell ref="K20:L20"/>
    <mergeCell ref="K21:L21"/>
    <mergeCell ref="K22:L22"/>
    <mergeCell ref="A18:A19"/>
    <mergeCell ref="I2:J2"/>
    <mergeCell ref="E3:E4"/>
    <mergeCell ref="F3:F4"/>
    <mergeCell ref="E6:E7"/>
    <mergeCell ref="F6:F7"/>
    <mergeCell ref="E15:E16"/>
    <mergeCell ref="F15:G16"/>
    <mergeCell ref="J17:M17"/>
    <mergeCell ref="E9:E10"/>
    <mergeCell ref="F9:F10"/>
    <mergeCell ref="E12:E13"/>
    <mergeCell ref="J12:J13"/>
    <mergeCell ref="F13:I1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954F1-7D7C-4DC2-9802-DEFC5A596570}">
  <dimension ref="A1:M28"/>
  <sheetViews>
    <sheetView workbookViewId="0">
      <selection activeCell="J25" sqref="J25"/>
    </sheetView>
  </sheetViews>
  <sheetFormatPr defaultRowHeight="15" x14ac:dyDescent="0.25"/>
  <cols>
    <col min="3" max="3" width="14.7109375" bestFit="1" customWidth="1"/>
    <col min="5" max="5" width="15.5703125" customWidth="1"/>
    <col min="6" max="6" width="10.5703125" bestFit="1" customWidth="1"/>
    <col min="9" max="9" width="7.140625" bestFit="1" customWidth="1"/>
    <col min="10" max="10" width="26.7109375" bestFit="1" customWidth="1"/>
    <col min="11" max="11" width="7.5703125" bestFit="1" customWidth="1"/>
    <col min="12" max="12" width="20.28515625" bestFit="1" customWidth="1"/>
    <col min="13" max="13" width="13.42578125" customWidth="1"/>
  </cols>
  <sheetData>
    <row r="1" spans="1:12" ht="15.75" thickBot="1" x14ac:dyDescent="0.3"/>
    <row r="2" spans="1:12" ht="15.75" thickBot="1" x14ac:dyDescent="0.3">
      <c r="B2" s="2" t="s">
        <v>23</v>
      </c>
      <c r="C2" s="1" t="s">
        <v>24</v>
      </c>
      <c r="E2" s="2" t="s">
        <v>0</v>
      </c>
      <c r="F2" s="6">
        <f>C15</f>
        <v>1170000</v>
      </c>
      <c r="I2" s="49" t="s">
        <v>3</v>
      </c>
      <c r="J2" s="50"/>
      <c r="K2" s="7" t="s">
        <v>4</v>
      </c>
      <c r="L2" s="7" t="s">
        <v>5</v>
      </c>
    </row>
    <row r="3" spans="1:12" x14ac:dyDescent="0.25">
      <c r="A3" t="s">
        <v>25</v>
      </c>
      <c r="B3" s="3">
        <v>1</v>
      </c>
      <c r="C3" s="13">
        <v>0</v>
      </c>
      <c r="E3" s="58" t="s">
        <v>1</v>
      </c>
      <c r="F3" s="60">
        <v>200000</v>
      </c>
      <c r="I3" s="16" t="s">
        <v>6</v>
      </c>
      <c r="J3" s="16" t="s">
        <v>7</v>
      </c>
      <c r="K3" s="17">
        <v>4.4999999999999998E-2</v>
      </c>
      <c r="L3" s="16" t="s">
        <v>8</v>
      </c>
    </row>
    <row r="4" spans="1:12" ht="15.75" thickBot="1" x14ac:dyDescent="0.3">
      <c r="A4" t="s">
        <v>26</v>
      </c>
      <c r="B4" s="4">
        <v>2</v>
      </c>
      <c r="C4" s="14">
        <v>195000</v>
      </c>
      <c r="E4" s="59"/>
      <c r="F4" s="61"/>
      <c r="I4" s="16" t="s">
        <v>9</v>
      </c>
      <c r="J4" s="16" t="s">
        <v>10</v>
      </c>
      <c r="K4" s="17">
        <v>0.09</v>
      </c>
      <c r="L4" s="18">
        <v>8100</v>
      </c>
    </row>
    <row r="5" spans="1:12" ht="15.75" thickBot="1" x14ac:dyDescent="0.3">
      <c r="A5" t="s">
        <v>27</v>
      </c>
      <c r="B5" s="4">
        <v>3</v>
      </c>
      <c r="C5" s="14"/>
      <c r="I5" s="16" t="s">
        <v>11</v>
      </c>
      <c r="J5" s="16" t="s">
        <v>12</v>
      </c>
      <c r="K5" s="17">
        <v>0.10199999999999999</v>
      </c>
      <c r="L5" s="18">
        <v>12420</v>
      </c>
    </row>
    <row r="6" spans="1:12" x14ac:dyDescent="0.25">
      <c r="A6" t="s">
        <v>28</v>
      </c>
      <c r="B6" s="4">
        <v>4</v>
      </c>
      <c r="C6" s="14"/>
      <c r="E6" s="58" t="s">
        <v>2</v>
      </c>
      <c r="F6" s="62">
        <f>IF(F2&lt;=180000,K3,IF(AND(F2&gt;=180000.01,F2&lt;=360000),K4,IF(AND(F2&gt;=360000.01,F2&lt;=720000),K5,IF(AND(F2&gt;=720000.01,F2&lt;=1800000),K6,IF(AND(F2&gt;=1800000.01,F2&lt;=3600000),K7,IF(AND(F2&gt;=3600000.01,F2&lt;=4800000),K8,0))))))</f>
        <v>0.14000000000000001</v>
      </c>
      <c r="I6" s="16" t="s">
        <v>13</v>
      </c>
      <c r="J6" s="16" t="s">
        <v>14</v>
      </c>
      <c r="K6" s="17">
        <v>0.14000000000000001</v>
      </c>
      <c r="L6" s="18">
        <v>39780</v>
      </c>
    </row>
    <row r="7" spans="1:12" ht="15.75" thickBot="1" x14ac:dyDescent="0.3">
      <c r="A7" t="s">
        <v>29</v>
      </c>
      <c r="B7" s="4">
        <v>5</v>
      </c>
      <c r="C7" s="14"/>
      <c r="E7" s="59"/>
      <c r="F7" s="63"/>
      <c r="I7" s="16" t="s">
        <v>15</v>
      </c>
      <c r="J7" s="16" t="s">
        <v>16</v>
      </c>
      <c r="K7" s="17">
        <v>0.22</v>
      </c>
      <c r="L7" s="18">
        <v>183780</v>
      </c>
    </row>
    <row r="8" spans="1:12" ht="15.75" thickBot="1" x14ac:dyDescent="0.3">
      <c r="A8" t="s">
        <v>30</v>
      </c>
      <c r="B8" s="4">
        <v>6</v>
      </c>
      <c r="C8" s="14"/>
      <c r="I8" s="16" t="s">
        <v>17</v>
      </c>
      <c r="J8" s="16" t="s">
        <v>18</v>
      </c>
      <c r="K8" s="17">
        <v>0.33</v>
      </c>
      <c r="L8" s="18">
        <v>828000</v>
      </c>
    </row>
    <row r="9" spans="1:12" x14ac:dyDescent="0.25">
      <c r="A9" t="s">
        <v>31</v>
      </c>
      <c r="B9" s="4">
        <v>7</v>
      </c>
      <c r="C9" s="14"/>
      <c r="E9" s="58" t="s">
        <v>19</v>
      </c>
      <c r="F9" s="51">
        <f>IF(F6=K3,0,IF(F6=K4,L4,IF(F6=K5,L5,IF(F6=K6,L6,IF(F6=K7,L7,IF(F6=K8,L8,0))))))</f>
        <v>39780</v>
      </c>
    </row>
    <row r="10" spans="1:12" ht="15.75" thickBot="1" x14ac:dyDescent="0.3">
      <c r="A10" t="s">
        <v>32</v>
      </c>
      <c r="B10" s="4">
        <v>8</v>
      </c>
      <c r="C10" s="14"/>
      <c r="E10" s="59"/>
      <c r="F10" s="52"/>
    </row>
    <row r="11" spans="1:12" ht="15.75" thickBot="1" x14ac:dyDescent="0.3">
      <c r="A11" t="s">
        <v>33</v>
      </c>
      <c r="B11" s="4">
        <v>9</v>
      </c>
      <c r="C11" s="14"/>
      <c r="J11" s="11"/>
    </row>
    <row r="12" spans="1:12" ht="15.75" thickBot="1" x14ac:dyDescent="0.3">
      <c r="A12" t="s">
        <v>34</v>
      </c>
      <c r="B12" s="4">
        <v>10</v>
      </c>
      <c r="C12" s="14"/>
      <c r="E12" s="53" t="s">
        <v>20</v>
      </c>
      <c r="F12" s="12" t="s">
        <v>21</v>
      </c>
      <c r="G12" s="12"/>
      <c r="H12" s="12"/>
      <c r="I12" s="12"/>
      <c r="J12" s="51">
        <f>(((F2*F6)-F9)/F2)</f>
        <v>0.10600000000000002</v>
      </c>
    </row>
    <row r="13" spans="1:12" ht="15.75" thickBot="1" x14ac:dyDescent="0.3">
      <c r="A13" t="s">
        <v>35</v>
      </c>
      <c r="B13" s="4">
        <v>11</v>
      </c>
      <c r="C13" s="14"/>
      <c r="E13" s="54"/>
      <c r="F13" s="55" t="s">
        <v>0</v>
      </c>
      <c r="G13" s="55"/>
      <c r="H13" s="55"/>
      <c r="I13" s="55"/>
      <c r="J13" s="52"/>
    </row>
    <row r="14" spans="1:12" ht="15.75" thickBot="1" x14ac:dyDescent="0.3">
      <c r="A14" t="s">
        <v>36</v>
      </c>
      <c r="B14" s="5">
        <v>12</v>
      </c>
      <c r="C14" s="15"/>
    </row>
    <row r="15" spans="1:12" x14ac:dyDescent="0.25">
      <c r="C15">
        <f>(12*SUM(C3:C14))/COUNTA(C3:C14)</f>
        <v>1170000</v>
      </c>
      <c r="E15" s="45" t="s">
        <v>22</v>
      </c>
      <c r="F15" s="45">
        <f>F3*J12</f>
        <v>21200.000000000004</v>
      </c>
      <c r="G15" s="47"/>
    </row>
    <row r="16" spans="1:12" ht="15.75" thickBot="1" x14ac:dyDescent="0.3">
      <c r="E16" s="46"/>
      <c r="F16" s="46"/>
      <c r="G16" s="48"/>
    </row>
    <row r="17" spans="1:13" ht="15.75" thickBot="1" x14ac:dyDescent="0.3">
      <c r="J17" s="64" t="s">
        <v>69</v>
      </c>
      <c r="K17" s="65"/>
      <c r="L17" s="65"/>
      <c r="M17" s="66"/>
    </row>
    <row r="18" spans="1:13" x14ac:dyDescent="0.25">
      <c r="A18" s="40" t="s">
        <v>37</v>
      </c>
      <c r="B18" s="42" t="s">
        <v>38</v>
      </c>
      <c r="C18" s="43"/>
      <c r="D18" s="43"/>
      <c r="E18" s="43"/>
      <c r="F18" s="44"/>
      <c r="J18" s="34" t="str">
        <f>IF(F6=K6,I6,IF(F6=K3,I3,IF(F6=K4,I4,IF(F6=K5,I5,IF(F6=K7,I7,IF(F6=K8,I8,0))))))</f>
        <v>4ª Faixa</v>
      </c>
      <c r="K18" s="37" t="s">
        <v>66</v>
      </c>
      <c r="L18" s="37"/>
      <c r="M18" s="35" t="s">
        <v>67</v>
      </c>
    </row>
    <row r="19" spans="1:13" x14ac:dyDescent="0.25">
      <c r="A19" s="41"/>
      <c r="B19" s="19" t="s">
        <v>39</v>
      </c>
      <c r="C19" s="19" t="s">
        <v>40</v>
      </c>
      <c r="D19" s="19" t="s">
        <v>41</v>
      </c>
      <c r="E19" s="19" t="s">
        <v>42</v>
      </c>
      <c r="F19" s="19" t="s">
        <v>46</v>
      </c>
      <c r="J19" s="27" t="s">
        <v>39</v>
      </c>
      <c r="K19" s="36">
        <f>IF($J$18=$A$20,$J$12*$B$20,IF($J$18=$A$21,$J$12*$B$21,IF($J$18=$A$22,$J$12*$B$22,IF($J$18=$A$23,$J$12*$B$23,IF($J$18=$A$24,$J$12*$B$24,0)))))</f>
        <v>1.8868000000000003E-2</v>
      </c>
      <c r="L19" s="36"/>
      <c r="M19" s="29">
        <f>$F$3*K19</f>
        <v>3773.6000000000004</v>
      </c>
    </row>
    <row r="20" spans="1:13" x14ac:dyDescent="0.25">
      <c r="A20" s="16" t="s">
        <v>6</v>
      </c>
      <c r="B20" s="17">
        <v>0.188</v>
      </c>
      <c r="C20" s="17">
        <v>0.152</v>
      </c>
      <c r="D20" s="17">
        <v>0.1767</v>
      </c>
      <c r="E20" s="17">
        <v>3.8300000000000001E-2</v>
      </c>
      <c r="F20" s="17">
        <v>0.44500000000000001</v>
      </c>
      <c r="J20" s="27" t="s">
        <v>40</v>
      </c>
      <c r="K20" s="36">
        <f>IF($J$18=$A$20,$J$12*$C$20,IF($J$18=$A$21,$J$12*$C$21,IF($J$18=$A$22,$J$12*$C$22,IF($J$18=$A$23,$J$12*$C$23,IF($J$18=$A$24,$J$12*$C$24,0)))))</f>
        <v>2.0352000000000006E-2</v>
      </c>
      <c r="L20" s="36"/>
      <c r="M20" s="29">
        <f t="shared" ref="M20:M23" si="0">$F$3*K20</f>
        <v>4070.400000000001</v>
      </c>
    </row>
    <row r="21" spans="1:13" x14ac:dyDescent="0.25">
      <c r="A21" s="16" t="s">
        <v>9</v>
      </c>
      <c r="B21" s="17">
        <v>0.19800000000000001</v>
      </c>
      <c r="C21" s="17">
        <v>0.152</v>
      </c>
      <c r="D21" s="17">
        <v>0.20549999999999999</v>
      </c>
      <c r="E21" s="17">
        <v>4.4499999999999998E-2</v>
      </c>
      <c r="F21" s="17">
        <v>0.4</v>
      </c>
      <c r="J21" s="27" t="s">
        <v>64</v>
      </c>
      <c r="K21" s="36">
        <f>IF($J$18=$A$20,$J$12*$D$20,IF($J$18=$A$21,$J$12*$D$21,IF($J$18=$A$22,$J$12*$D$22,IF($J$18=$A$23,$J$12*$D$23,IF($J$18=$A$24,$J$12*$D$24,0)))))</f>
        <v>2.0034000000000003E-2</v>
      </c>
      <c r="L21" s="36"/>
      <c r="M21" s="29">
        <f t="shared" si="0"/>
        <v>4006.8000000000006</v>
      </c>
    </row>
    <row r="22" spans="1:13" x14ac:dyDescent="0.25">
      <c r="A22" s="16" t="s">
        <v>11</v>
      </c>
      <c r="B22" s="17">
        <v>0.20799999999999999</v>
      </c>
      <c r="C22" s="17">
        <v>0.152</v>
      </c>
      <c r="D22" s="17">
        <v>0.1973</v>
      </c>
      <c r="E22" s="17">
        <v>4.2700000000000002E-2</v>
      </c>
      <c r="F22" s="17">
        <v>0.4</v>
      </c>
      <c r="J22" s="27" t="s">
        <v>65</v>
      </c>
      <c r="K22" s="36">
        <f>IF($J$18=$A$20,$J$12*$E$20,IF($J$18=$A$21,$J$12*$E$21,IF($J$18=$A$22,$J$12*$E$22,IF($J$18=$A$23,$J$12*$E$23,IF($J$18=$A$24,$J$12*$E$24,0)))))</f>
        <v>4.3460000000000009E-3</v>
      </c>
      <c r="L22" s="36"/>
      <c r="M22" s="29">
        <f t="shared" si="0"/>
        <v>869.20000000000016</v>
      </c>
    </row>
    <row r="23" spans="1:13" ht="15.75" thickBot="1" x14ac:dyDescent="0.3">
      <c r="A23" s="16" t="s">
        <v>13</v>
      </c>
      <c r="B23" s="17">
        <v>0.17799999999999999</v>
      </c>
      <c r="C23" s="17">
        <v>0.192</v>
      </c>
      <c r="D23" s="17">
        <v>0.189</v>
      </c>
      <c r="E23" s="17">
        <v>4.1000000000000002E-2</v>
      </c>
      <c r="F23" s="17">
        <v>0.4</v>
      </c>
      <c r="J23" s="30" t="s">
        <v>49</v>
      </c>
      <c r="K23" s="39">
        <f>IF($J$18=$A$20,$J$12*$F$20,IF($J$18=$A$21,$J$12*$F$21,IF($J$18=$A$22,$J$12*$F$22,IF($J$18=$A$23,$J$12*$F$23,IF($J$18=$A$24,$J$12*$F$24,0)))))</f>
        <v>4.2400000000000014E-2</v>
      </c>
      <c r="L23" s="39"/>
      <c r="M23" s="31">
        <f t="shared" si="0"/>
        <v>8480.0000000000036</v>
      </c>
    </row>
    <row r="24" spans="1:13" ht="15.75" thickBot="1" x14ac:dyDescent="0.3">
      <c r="A24" s="16" t="s">
        <v>15</v>
      </c>
      <c r="B24" s="17">
        <v>0.188</v>
      </c>
      <c r="C24" s="17">
        <v>0.192</v>
      </c>
      <c r="D24" s="17">
        <v>0.18079999999999999</v>
      </c>
      <c r="E24" s="17">
        <v>3.9199999999999999E-2</v>
      </c>
      <c r="F24" s="17">
        <v>0.4</v>
      </c>
      <c r="J24" s="32" t="s">
        <v>68</v>
      </c>
      <c r="K24" s="38">
        <f>SUM(K19:L23)</f>
        <v>0.10600000000000001</v>
      </c>
      <c r="L24" s="38"/>
      <c r="M24" s="33">
        <f>SUM(M19:M23)</f>
        <v>21200.000000000007</v>
      </c>
    </row>
    <row r="25" spans="1:13" x14ac:dyDescent="0.25">
      <c r="A25" s="16" t="s">
        <v>17</v>
      </c>
      <c r="B25" s="17">
        <v>0.53500000000000003</v>
      </c>
      <c r="C25" s="17">
        <v>0.215</v>
      </c>
      <c r="D25" s="17">
        <v>0.20549999999999999</v>
      </c>
      <c r="E25" s="17">
        <v>4.4499999999999998E-2</v>
      </c>
      <c r="F25" s="16" t="s">
        <v>8</v>
      </c>
    </row>
    <row r="26" spans="1:13" ht="48" customHeight="1" x14ac:dyDescent="0.25">
      <c r="A26" s="73" t="s">
        <v>57</v>
      </c>
      <c r="B26" s="74"/>
      <c r="C26" s="74"/>
      <c r="D26" s="74"/>
      <c r="E26" s="74"/>
      <c r="F26" s="75"/>
    </row>
    <row r="27" spans="1:13" x14ac:dyDescent="0.25">
      <c r="A27" s="19" t="s">
        <v>48</v>
      </c>
      <c r="B27" s="19" t="s">
        <v>39</v>
      </c>
      <c r="C27" s="19" t="s">
        <v>40</v>
      </c>
      <c r="D27" s="19" t="s">
        <v>41</v>
      </c>
      <c r="E27" s="19" t="s">
        <v>42</v>
      </c>
      <c r="F27" s="19" t="s">
        <v>49</v>
      </c>
    </row>
    <row r="28" spans="1:13" ht="72" x14ac:dyDescent="0.25">
      <c r="A28" s="20" t="s">
        <v>58</v>
      </c>
      <c r="B28" s="16" t="s">
        <v>59</v>
      </c>
      <c r="C28" s="16" t="s">
        <v>60</v>
      </c>
      <c r="D28" s="16" t="s">
        <v>61</v>
      </c>
      <c r="E28" s="16" t="s">
        <v>62</v>
      </c>
      <c r="F28" s="16" t="s">
        <v>63</v>
      </c>
    </row>
  </sheetData>
  <mergeCells count="23">
    <mergeCell ref="A26:F26"/>
    <mergeCell ref="E12:E13"/>
    <mergeCell ref="J12:J13"/>
    <mergeCell ref="F13:I13"/>
    <mergeCell ref="E15:E16"/>
    <mergeCell ref="F15:G16"/>
    <mergeCell ref="A18:A19"/>
    <mergeCell ref="B18:F18"/>
    <mergeCell ref="E9:E10"/>
    <mergeCell ref="F9:F10"/>
    <mergeCell ref="I2:J2"/>
    <mergeCell ref="E3:E4"/>
    <mergeCell ref="F3:F4"/>
    <mergeCell ref="E6:E7"/>
    <mergeCell ref="F6:F7"/>
    <mergeCell ref="K23:L23"/>
    <mergeCell ref="K24:L24"/>
    <mergeCell ref="J17:M17"/>
    <mergeCell ref="K18:L18"/>
    <mergeCell ref="K19:L19"/>
    <mergeCell ref="K20:L20"/>
    <mergeCell ref="K21:L21"/>
    <mergeCell ref="K22:L2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678D6-1437-4843-BF31-DA48CD2FC2C1}">
  <dimension ref="A1:M26"/>
  <sheetViews>
    <sheetView tabSelected="1" workbookViewId="0">
      <selection activeCell="J29" sqref="J29"/>
    </sheetView>
  </sheetViews>
  <sheetFormatPr defaultRowHeight="15" x14ac:dyDescent="0.25"/>
  <cols>
    <col min="3" max="3" width="14.7109375" bestFit="1" customWidth="1"/>
    <col min="5" max="5" width="15.5703125" customWidth="1"/>
    <col min="6" max="6" width="10.5703125" bestFit="1" customWidth="1"/>
    <col min="9" max="9" width="7.140625" bestFit="1" customWidth="1"/>
    <col min="10" max="10" width="26.7109375" bestFit="1" customWidth="1"/>
    <col min="11" max="11" width="7.5703125" bestFit="1" customWidth="1"/>
    <col min="12" max="12" width="20.28515625" bestFit="1" customWidth="1"/>
    <col min="13" max="13" width="12.7109375" customWidth="1"/>
  </cols>
  <sheetData>
    <row r="1" spans="1:12" ht="15.75" thickBot="1" x14ac:dyDescent="0.3"/>
    <row r="2" spans="1:12" ht="15.75" thickBot="1" x14ac:dyDescent="0.3">
      <c r="B2" s="2" t="s">
        <v>23</v>
      </c>
      <c r="C2" s="1" t="s">
        <v>24</v>
      </c>
      <c r="E2" s="2" t="s">
        <v>0</v>
      </c>
      <c r="F2" s="6">
        <f>C15</f>
        <v>1170000</v>
      </c>
      <c r="I2" s="49" t="s">
        <v>3</v>
      </c>
      <c r="J2" s="50"/>
      <c r="K2" s="7" t="s">
        <v>4</v>
      </c>
      <c r="L2" s="7" t="s">
        <v>5</v>
      </c>
    </row>
    <row r="3" spans="1:12" x14ac:dyDescent="0.25">
      <c r="A3" t="s">
        <v>25</v>
      </c>
      <c r="B3" s="3">
        <v>1</v>
      </c>
      <c r="C3" s="13">
        <v>0</v>
      </c>
      <c r="E3" s="58" t="s">
        <v>1</v>
      </c>
      <c r="F3" s="60">
        <v>20000</v>
      </c>
      <c r="I3" s="16" t="s">
        <v>6</v>
      </c>
      <c r="J3" s="16" t="s">
        <v>7</v>
      </c>
      <c r="K3" s="17">
        <v>0.155</v>
      </c>
      <c r="L3" s="16" t="s">
        <v>8</v>
      </c>
    </row>
    <row r="4" spans="1:12" ht="15.75" thickBot="1" x14ac:dyDescent="0.3">
      <c r="A4" t="s">
        <v>26</v>
      </c>
      <c r="B4" s="4">
        <v>2</v>
      </c>
      <c r="C4" s="14">
        <v>195000</v>
      </c>
      <c r="E4" s="59"/>
      <c r="F4" s="61"/>
      <c r="I4" s="16" t="s">
        <v>9</v>
      </c>
      <c r="J4" s="16" t="s">
        <v>10</v>
      </c>
      <c r="K4" s="17">
        <v>0.18</v>
      </c>
      <c r="L4" s="18">
        <v>4500</v>
      </c>
    </row>
    <row r="5" spans="1:12" ht="15.75" thickBot="1" x14ac:dyDescent="0.3">
      <c r="A5" t="s">
        <v>27</v>
      </c>
      <c r="B5" s="4">
        <v>3</v>
      </c>
      <c r="C5" s="14"/>
      <c r="I5" s="16" t="s">
        <v>11</v>
      </c>
      <c r="J5" s="16" t="s">
        <v>12</v>
      </c>
      <c r="K5" s="17">
        <v>0.19500000000000001</v>
      </c>
      <c r="L5" s="18">
        <v>9900</v>
      </c>
    </row>
    <row r="6" spans="1:12" x14ac:dyDescent="0.25">
      <c r="A6" t="s">
        <v>28</v>
      </c>
      <c r="B6" s="4">
        <v>4</v>
      </c>
      <c r="C6" s="14"/>
      <c r="E6" s="58" t="s">
        <v>2</v>
      </c>
      <c r="F6" s="62">
        <f>IF(F2&lt;=180000,K3,IF(AND(F2&gt;=180000.01,F2&lt;=360000),K4,IF(AND(F2&gt;=360000.01,F2&lt;=720000),K5,IF(AND(F2&gt;=720000.01,F2&lt;=1800000),K6,IF(AND(F2&gt;=1800000.01,F2&lt;=3600000),K7,IF(AND(F2&gt;=3600000.01,F2&lt;=4800000),K8,0))))))</f>
        <v>0.20499999999999999</v>
      </c>
      <c r="I6" s="16" t="s">
        <v>13</v>
      </c>
      <c r="J6" s="16" t="s">
        <v>14</v>
      </c>
      <c r="K6" s="17">
        <v>0.20499999999999999</v>
      </c>
      <c r="L6" s="18">
        <v>17100</v>
      </c>
    </row>
    <row r="7" spans="1:12" ht="15.75" thickBot="1" x14ac:dyDescent="0.3">
      <c r="A7" t="s">
        <v>29</v>
      </c>
      <c r="B7" s="4">
        <v>5</v>
      </c>
      <c r="C7" s="14"/>
      <c r="E7" s="59"/>
      <c r="F7" s="63"/>
      <c r="I7" s="16" t="s">
        <v>15</v>
      </c>
      <c r="J7" s="16" t="s">
        <v>16</v>
      </c>
      <c r="K7" s="17">
        <v>0.23</v>
      </c>
      <c r="L7" s="18">
        <v>62100</v>
      </c>
    </row>
    <row r="8" spans="1:12" ht="15.75" thickBot="1" x14ac:dyDescent="0.3">
      <c r="A8" t="s">
        <v>30</v>
      </c>
      <c r="B8" s="4">
        <v>6</v>
      </c>
      <c r="C8" s="14"/>
      <c r="I8" s="16" t="s">
        <v>17</v>
      </c>
      <c r="J8" s="16" t="s">
        <v>18</v>
      </c>
      <c r="K8" s="17">
        <v>0.30499999999999999</v>
      </c>
      <c r="L8" s="18">
        <v>540000</v>
      </c>
    </row>
    <row r="9" spans="1:12" x14ac:dyDescent="0.25">
      <c r="A9" t="s">
        <v>31</v>
      </c>
      <c r="B9" s="4">
        <v>7</v>
      </c>
      <c r="C9" s="14"/>
      <c r="E9" s="58" t="s">
        <v>19</v>
      </c>
      <c r="F9" s="51">
        <f>IF(F6=K3,0,IF(F6=K4,L4,IF(F6=K5,L5,IF(F6=K6,L6,IF(F6=K7,L7,IF(F6=K8,L8,0))))))</f>
        <v>17100</v>
      </c>
    </row>
    <row r="10" spans="1:12" ht="15.75" thickBot="1" x14ac:dyDescent="0.3">
      <c r="A10" t="s">
        <v>32</v>
      </c>
      <c r="B10" s="4">
        <v>8</v>
      </c>
      <c r="C10" s="14"/>
      <c r="E10" s="59"/>
      <c r="F10" s="52"/>
    </row>
    <row r="11" spans="1:12" ht="15.75" thickBot="1" x14ac:dyDescent="0.3">
      <c r="A11" t="s">
        <v>33</v>
      </c>
      <c r="B11" s="4">
        <v>9</v>
      </c>
      <c r="C11" s="14"/>
      <c r="J11" s="11"/>
    </row>
    <row r="12" spans="1:12" ht="15.75" thickBot="1" x14ac:dyDescent="0.3">
      <c r="A12" t="s">
        <v>34</v>
      </c>
      <c r="B12" s="4">
        <v>10</v>
      </c>
      <c r="C12" s="14"/>
      <c r="E12" s="53" t="s">
        <v>20</v>
      </c>
      <c r="F12" s="12" t="s">
        <v>21</v>
      </c>
      <c r="G12" s="12"/>
      <c r="H12" s="12"/>
      <c r="I12" s="12"/>
      <c r="J12" s="51">
        <f>(((F2*F6)-F9)/F2)</f>
        <v>0.19038461538461537</v>
      </c>
    </row>
    <row r="13" spans="1:12" ht="15.75" thickBot="1" x14ac:dyDescent="0.3">
      <c r="A13" t="s">
        <v>35</v>
      </c>
      <c r="B13" s="4">
        <v>11</v>
      </c>
      <c r="C13" s="14"/>
      <c r="E13" s="54"/>
      <c r="F13" s="55" t="s">
        <v>0</v>
      </c>
      <c r="G13" s="55"/>
      <c r="H13" s="55"/>
      <c r="I13" s="55"/>
      <c r="J13" s="52"/>
    </row>
    <row r="14" spans="1:12" ht="15.75" thickBot="1" x14ac:dyDescent="0.3">
      <c r="A14" t="s">
        <v>36</v>
      </c>
      <c r="B14" s="5">
        <v>12</v>
      </c>
      <c r="C14" s="15"/>
    </row>
    <row r="15" spans="1:12" x14ac:dyDescent="0.25">
      <c r="C15">
        <f>(12*SUM(C3:C14))/COUNTA(C3:C14)</f>
        <v>1170000</v>
      </c>
      <c r="E15" s="45" t="s">
        <v>22</v>
      </c>
      <c r="F15" s="45">
        <f>F3*J12</f>
        <v>3807.6923076923076</v>
      </c>
      <c r="G15" s="47"/>
    </row>
    <row r="16" spans="1:12" ht="15.75" thickBot="1" x14ac:dyDescent="0.3">
      <c r="E16" s="46"/>
      <c r="F16" s="46"/>
      <c r="G16" s="48"/>
    </row>
    <row r="17" spans="1:13" x14ac:dyDescent="0.25">
      <c r="J17" s="67" t="s">
        <v>69</v>
      </c>
      <c r="K17" s="68"/>
      <c r="L17" s="68"/>
      <c r="M17" s="69"/>
    </row>
    <row r="18" spans="1:13" ht="15" customHeight="1" x14ac:dyDescent="0.25">
      <c r="A18" s="40" t="s">
        <v>37</v>
      </c>
      <c r="B18" s="42" t="s">
        <v>38</v>
      </c>
      <c r="C18" s="43"/>
      <c r="D18" s="43"/>
      <c r="E18" s="43"/>
      <c r="F18" s="43"/>
      <c r="G18" s="43"/>
      <c r="J18" s="27" t="str">
        <f>IF(F6=K6,I6,IF(F6=K3,I3,IF(F6=K4,I4,IF(F6=K5,I5,IF(F6=K7,I7,IF(F6=K8,I8,0))))))</f>
        <v>4ª Faixa</v>
      </c>
      <c r="K18" s="72" t="s">
        <v>66</v>
      </c>
      <c r="L18" s="72"/>
      <c r="M18" s="28" t="s">
        <v>67</v>
      </c>
    </row>
    <row r="19" spans="1:13" x14ac:dyDescent="0.25">
      <c r="A19" s="41"/>
      <c r="B19" s="26" t="s">
        <v>39</v>
      </c>
      <c r="C19" s="19" t="s">
        <v>40</v>
      </c>
      <c r="D19" s="19" t="s">
        <v>41</v>
      </c>
      <c r="E19" s="19" t="s">
        <v>42</v>
      </c>
      <c r="F19" s="19" t="s">
        <v>43</v>
      </c>
      <c r="G19" s="19" t="s">
        <v>46</v>
      </c>
      <c r="J19" s="27" t="s">
        <v>39</v>
      </c>
      <c r="K19" s="36">
        <f>IF($J$18=$A$20,$J$12*$B$20,IF($J$18=$A$21,$J$12*$B$21,IF($J$18=$A$22,$J$12*$B$22,IF($J$18=$A$23,$J$12*$B$23,IF($J$18=$A$24,$J$12*$B$24,0)))))</f>
        <v>3.9980769230769229E-2</v>
      </c>
      <c r="L19" s="36"/>
      <c r="M19" s="29">
        <f>$F$3*K19</f>
        <v>799.61538461538464</v>
      </c>
    </row>
    <row r="20" spans="1:13" x14ac:dyDescent="0.25">
      <c r="A20" s="16" t="s">
        <v>6</v>
      </c>
      <c r="B20" s="17">
        <v>0.25</v>
      </c>
      <c r="C20" s="17">
        <v>0.15</v>
      </c>
      <c r="D20" s="17">
        <v>0.14099999999999999</v>
      </c>
      <c r="E20" s="17">
        <v>3.0499999999999999E-2</v>
      </c>
      <c r="F20" s="17">
        <v>0.28849999999999998</v>
      </c>
      <c r="G20" s="17">
        <v>0.14000000000000001</v>
      </c>
      <c r="J20" s="27" t="s">
        <v>40</v>
      </c>
      <c r="K20" s="36">
        <f>IF($J$18=$A$20,$J$12*$C$20,IF($J$18=$A$21,$J$12*$C$21,IF($J$18=$A$22,$J$12*$C$22,IF($J$18=$A$23,$J$12*$C$23,IF($J$18=$A$24,$J$12*$C$24,0)))))</f>
        <v>2.8557692307692305E-2</v>
      </c>
      <c r="L20" s="36"/>
      <c r="M20" s="29">
        <f t="shared" ref="M20:M24" si="0">$F$3*K20</f>
        <v>571.15384615384608</v>
      </c>
    </row>
    <row r="21" spans="1:13" x14ac:dyDescent="0.25">
      <c r="A21" s="16" t="s">
        <v>9</v>
      </c>
      <c r="B21" s="17">
        <v>0.23</v>
      </c>
      <c r="C21" s="17">
        <v>0.15</v>
      </c>
      <c r="D21" s="17">
        <v>0.14099999999999999</v>
      </c>
      <c r="E21" s="17">
        <v>3.0499999999999999E-2</v>
      </c>
      <c r="F21" s="17">
        <v>0.27850000000000003</v>
      </c>
      <c r="G21" s="17">
        <v>0.17</v>
      </c>
      <c r="J21" s="27" t="s">
        <v>64</v>
      </c>
      <c r="K21" s="36">
        <f>IF($J$18=$A$20,$J$12*$D$20,IF($J$18=$A$21,$J$12*$D$21,IF($J$18=$A$22,$J$12*$D$22,IF($J$18=$A$23,$J$12*$D$23,IF($J$18=$A$24,$J$12*$D$24,0)))))</f>
        <v>2.9966538461538461E-2</v>
      </c>
      <c r="L21" s="36"/>
      <c r="M21" s="29">
        <f t="shared" si="0"/>
        <v>599.33076923076919</v>
      </c>
    </row>
    <row r="22" spans="1:13" x14ac:dyDescent="0.25">
      <c r="A22" s="16" t="s">
        <v>11</v>
      </c>
      <c r="B22" s="17">
        <v>0.24</v>
      </c>
      <c r="C22" s="17">
        <v>0.15</v>
      </c>
      <c r="D22" s="17">
        <v>0.1492</v>
      </c>
      <c r="E22" s="17">
        <v>3.2300000000000002E-2</v>
      </c>
      <c r="F22" s="17">
        <v>0.23849999999999999</v>
      </c>
      <c r="G22" s="17">
        <v>0.19</v>
      </c>
      <c r="J22" s="27" t="s">
        <v>65</v>
      </c>
      <c r="K22" s="36">
        <f>IF($J$18=$A$20,$J$12*$E$20,IF($J$18=$A$21,$J$12*$E$21,IF($J$18=$A$22,$J$12*$E$22,IF($J$18=$A$23,$J$12*$E$23,IF($J$18=$A$24,$J$12*$E$24,0)))))</f>
        <v>6.4921153846153844E-3</v>
      </c>
      <c r="L22" s="36"/>
      <c r="M22" s="29">
        <f t="shared" si="0"/>
        <v>129.84230769230768</v>
      </c>
    </row>
    <row r="23" spans="1:13" x14ac:dyDescent="0.25">
      <c r="A23" s="16" t="s">
        <v>13</v>
      </c>
      <c r="B23" s="17">
        <v>0.21</v>
      </c>
      <c r="C23" s="17">
        <v>0.15</v>
      </c>
      <c r="D23" s="17">
        <v>0.15740000000000001</v>
      </c>
      <c r="E23" s="17">
        <v>3.4099999999999998E-2</v>
      </c>
      <c r="F23" s="17">
        <v>0.23849999999999999</v>
      </c>
      <c r="G23" s="17">
        <v>0.21</v>
      </c>
      <c r="J23" s="27" t="s">
        <v>43</v>
      </c>
      <c r="K23" s="36">
        <f>IF($J$18=$A$20,$J$12*$F$20,IF($J$18=$A$21,$J$12*$F$21,IF($J$18=$A$22,$J$12*$F$22,IF($J$18=$A$23,$J$12*$F$23,IF($J$18=$A$24,$J$12*$F$24,0)))))</f>
        <v>4.5406730769230762E-2</v>
      </c>
      <c r="L23" s="36"/>
      <c r="M23" s="29">
        <f t="shared" si="0"/>
        <v>908.13461538461524</v>
      </c>
    </row>
    <row r="24" spans="1:13" ht="13.5" customHeight="1" thickBot="1" x14ac:dyDescent="0.3">
      <c r="A24" s="16" t="s">
        <v>15</v>
      </c>
      <c r="B24" s="17">
        <v>0.23</v>
      </c>
      <c r="C24" s="17">
        <v>0.125</v>
      </c>
      <c r="D24" s="17">
        <v>0.14099999999999999</v>
      </c>
      <c r="E24" s="17">
        <v>3.0499999999999999E-2</v>
      </c>
      <c r="F24" s="17">
        <v>0.23849999999999999</v>
      </c>
      <c r="G24" s="17">
        <v>0.23499999999999999</v>
      </c>
      <c r="J24" s="30" t="s">
        <v>49</v>
      </c>
      <c r="K24" s="39">
        <f>IF($J$18=$A$20,$J$12*$G$20,IF($J$18=$A$21,$J$12*$G$21,IF($J$18=$A$22,$J$12*$G$22,IF($J$18=$A$23,$J$12*$G$23,IF($J$18=$A$24,$J$12*$G$24,0)))))</f>
        <v>3.9980769230769229E-2</v>
      </c>
      <c r="L24" s="39"/>
      <c r="M24" s="31">
        <f t="shared" si="0"/>
        <v>799.61538461538464</v>
      </c>
    </row>
    <row r="25" spans="1:13" ht="15.75" thickBot="1" x14ac:dyDescent="0.3">
      <c r="A25" s="16" t="s">
        <v>17</v>
      </c>
      <c r="B25" s="17">
        <v>0.35</v>
      </c>
      <c r="C25" s="17">
        <v>0.155</v>
      </c>
      <c r="D25" s="17">
        <v>0.16439999999999999</v>
      </c>
      <c r="E25" s="17">
        <v>3.56E-2</v>
      </c>
      <c r="F25" s="17">
        <v>0.29499999999999998</v>
      </c>
      <c r="G25" s="16" t="s">
        <v>8</v>
      </c>
      <c r="J25" s="32" t="s">
        <v>68</v>
      </c>
      <c r="K25" s="38">
        <f>SUM(K19:L24)</f>
        <v>0.19038461538461537</v>
      </c>
      <c r="L25" s="38"/>
      <c r="M25" s="33">
        <f>SUM(M19:M24)</f>
        <v>3807.6923076923076</v>
      </c>
    </row>
    <row r="26" spans="1:13" ht="13.5" customHeight="1" x14ac:dyDescent="0.25"/>
  </sheetData>
  <mergeCells count="23">
    <mergeCell ref="K22:L22"/>
    <mergeCell ref="K23:L23"/>
    <mergeCell ref="K24:L24"/>
    <mergeCell ref="K25:L25"/>
    <mergeCell ref="A18:A19"/>
    <mergeCell ref="B18:G18"/>
    <mergeCell ref="K18:L18"/>
    <mergeCell ref="K19:L19"/>
    <mergeCell ref="K20:L20"/>
    <mergeCell ref="K21:L21"/>
    <mergeCell ref="E12:E13"/>
    <mergeCell ref="J12:J13"/>
    <mergeCell ref="F13:I13"/>
    <mergeCell ref="E15:E16"/>
    <mergeCell ref="F15:G16"/>
    <mergeCell ref="J17:M17"/>
    <mergeCell ref="I2:J2"/>
    <mergeCell ref="E3:E4"/>
    <mergeCell ref="F3:F4"/>
    <mergeCell ref="E6:E7"/>
    <mergeCell ref="F6:F7"/>
    <mergeCell ref="E9:E10"/>
    <mergeCell ref="F9:F1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ANEXO I</vt:lpstr>
      <vt:lpstr>ANEXO II</vt:lpstr>
      <vt:lpstr>ANEXO III</vt:lpstr>
      <vt:lpstr>ANEXO IV</vt:lpstr>
      <vt:lpstr>ANEXO 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</dc:creator>
  <cp:lastModifiedBy>User</cp:lastModifiedBy>
  <dcterms:created xsi:type="dcterms:W3CDTF">2024-07-27T23:56:19Z</dcterms:created>
  <dcterms:modified xsi:type="dcterms:W3CDTF">2026-10-03T12:49:02Z</dcterms:modified>
</cp:coreProperties>
</file>